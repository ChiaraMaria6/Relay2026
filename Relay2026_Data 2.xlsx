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chiaramanton/Library/Mobile Documents/com~apple~CloudDocs/RAGNAR RELAY/"/>
    </mc:Choice>
  </mc:AlternateContent>
  <xr:revisionPtr revIDLastSave="0" documentId="13_ncr:1_{0569EEF3-1072-9248-9E3D-70B15FA830CC}" xr6:coauthVersionLast="47" xr6:coauthVersionMax="47" xr10:uidLastSave="{00000000-0000-0000-0000-000000000000}"/>
  <bookViews>
    <workbookView xWindow="12480" yWindow="660" windowWidth="22080" windowHeight="20060" activeTab="4" xr2:uid="{00000000-000D-0000-FFFF-FFFF00000000}"/>
  </bookViews>
  <sheets>
    <sheet name="Runners" sheetId="1" r:id="rId1"/>
    <sheet name="Sherpas" sheetId="2" r:id="rId2"/>
    <sheet name="Teams" sheetId="3" r:id="rId3"/>
    <sheet name="Emergency" sheetId="4" r:id="rId4"/>
    <sheet name="TentList" sheetId="5" r:id="rId5"/>
    <sheet name="Carpool" sheetId="6" r:id="rId6"/>
    <sheet name="Checklist" sheetId="7" r:id="rId7"/>
    <sheet name="Links" sheetId="8" r:id="rId8"/>
    <sheet name="READM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D10" i="6"/>
</calcChain>
</file>

<file path=xl/sharedStrings.xml><?xml version="1.0" encoding="utf-8"?>
<sst xmlns="http://schemas.openxmlformats.org/spreadsheetml/2006/main" count="839" uniqueCount="304">
  <si>
    <t>#</t>
  </si>
  <si>
    <t>Name</t>
  </si>
  <si>
    <t>Payment</t>
  </si>
  <si>
    <t>Amount</t>
  </si>
  <si>
    <t>Initials</t>
  </si>
  <si>
    <t>Average</t>
  </si>
  <si>
    <t>Email</t>
  </si>
  <si>
    <t>Phone</t>
  </si>
  <si>
    <t>Chiara Manton</t>
  </si>
  <si>
    <t>Paid</t>
  </si>
  <si>
    <t>CM</t>
  </si>
  <si>
    <t>11:00</t>
  </si>
  <si>
    <t>chiaramaria@yahoo.com</t>
  </si>
  <si>
    <t>305-619-4437</t>
  </si>
  <si>
    <t>Daniel Maher</t>
  </si>
  <si>
    <t>DM</t>
  </si>
  <si>
    <t>svDRIFT@gmail.com</t>
  </si>
  <si>
    <t>305-510-4682</t>
  </si>
  <si>
    <t>Gretchen Chiques</t>
  </si>
  <si>
    <t>Pending</t>
  </si>
  <si>
    <t>GC</t>
  </si>
  <si>
    <t>12:00</t>
  </si>
  <si>
    <t>gchiques@hotmail.com</t>
  </si>
  <si>
    <t>240-418-6767</t>
  </si>
  <si>
    <t>Pilar Salazar</t>
  </si>
  <si>
    <t>PS</t>
  </si>
  <si>
    <t>pilly1017@gmail.com</t>
  </si>
  <si>
    <t>786-351-9725</t>
  </si>
  <si>
    <t>Luisa Salazar</t>
  </si>
  <si>
    <t>LS</t>
  </si>
  <si>
    <t>786-853-9101</t>
  </si>
  <si>
    <t>Lynette Estrada</t>
  </si>
  <si>
    <t>LE</t>
  </si>
  <si>
    <t>lestrada1221@gmail.com</t>
  </si>
  <si>
    <t>305-978-1473</t>
  </si>
  <si>
    <t>Dulce Gierson</t>
  </si>
  <si>
    <t>DG</t>
  </si>
  <si>
    <t>13:00</t>
  </si>
  <si>
    <t>dgierson@gmail.com</t>
  </si>
  <si>
    <t>305-788-9707</t>
  </si>
  <si>
    <t>Claudia Guitz</t>
  </si>
  <si>
    <t>CG</t>
  </si>
  <si>
    <t>cguitz@gmail.com</t>
  </si>
  <si>
    <t>786-531-5484</t>
  </si>
  <si>
    <t>Johnny Rodriguez</t>
  </si>
  <si>
    <t>JR</t>
  </si>
  <si>
    <t>9:00</t>
  </si>
  <si>
    <t>split70cam@yahoo.com</t>
  </si>
  <si>
    <t>786-525-3456</t>
  </si>
  <si>
    <t>Monica Cardella</t>
  </si>
  <si>
    <t>MC</t>
  </si>
  <si>
    <t>monicaelaine@gmail.com</t>
  </si>
  <si>
    <t>206-617-3554</t>
  </si>
  <si>
    <t>David Rabella</t>
  </si>
  <si>
    <t>DR</t>
  </si>
  <si>
    <t>drabella@gmail.com</t>
  </si>
  <si>
    <t>786-514-9267</t>
  </si>
  <si>
    <t>Gaby Pelaez</t>
  </si>
  <si>
    <t>GP</t>
  </si>
  <si>
    <t>mgpelaez@gmail.com</t>
  </si>
  <si>
    <t>954-909-9772</t>
  </si>
  <si>
    <t>Lisset Velasquez</t>
  </si>
  <si>
    <t>LV</t>
  </si>
  <si>
    <t>lisset_velazquez@yahoo.com</t>
  </si>
  <si>
    <t>786-301-3082</t>
  </si>
  <si>
    <t>Edson Briggs</t>
  </si>
  <si>
    <t>EB</t>
  </si>
  <si>
    <t>ebriggs@gmail.com</t>
  </si>
  <si>
    <t>305-298-9688</t>
  </si>
  <si>
    <t>Emily Umulis</t>
  </si>
  <si>
    <t>EU</t>
  </si>
  <si>
    <t>John McDaniel</t>
  </si>
  <si>
    <t>JM</t>
  </si>
  <si>
    <t>863-214-1704</t>
  </si>
  <si>
    <t>Role</t>
  </si>
  <si>
    <t>Rene Hernandez</t>
  </si>
  <si>
    <t>reneccr@outlook.com</t>
  </si>
  <si>
    <t>Sherpa</t>
  </si>
  <si>
    <t>Team</t>
  </si>
  <si>
    <t>Ave</t>
  </si>
  <si>
    <t>No Egrets</t>
  </si>
  <si>
    <t>Still Full of Egrets</t>
  </si>
  <si>
    <t>I Egret this Already</t>
  </si>
  <si>
    <t>DRAFT</t>
  </si>
  <si>
    <t>Runner</t>
  </si>
  <si>
    <t>Emergency Contact</t>
  </si>
  <si>
    <t>Relation</t>
  </si>
  <si>
    <t>Cesca Manton</t>
  </si>
  <si>
    <t>Sister</t>
  </si>
  <si>
    <t>267-414-3515</t>
  </si>
  <si>
    <t>Denny Maher</t>
  </si>
  <si>
    <t>Father</t>
  </si>
  <si>
    <t>617-631-0342</t>
  </si>
  <si>
    <t>Ruben A Raimundi</t>
  </si>
  <si>
    <t>Son</t>
  </si>
  <si>
    <t>808-348-4436</t>
  </si>
  <si>
    <t>Yaly Salazar</t>
  </si>
  <si>
    <t>305-484-2971</t>
  </si>
  <si>
    <t>Rene</t>
  </si>
  <si>
    <t>Partner</t>
  </si>
  <si>
    <t>305-965-0750</t>
  </si>
  <si>
    <t>Karla Nicholl</t>
  </si>
  <si>
    <t>Friend</t>
  </si>
  <si>
    <t>305-450-3945</t>
  </si>
  <si>
    <t>Philip Cardella</t>
  </si>
  <si>
    <t>206-617-0027</t>
  </si>
  <si>
    <t>Marta Marin</t>
  </si>
  <si>
    <t>Spouse</t>
  </si>
  <si>
    <t>305-389-6175</t>
  </si>
  <si>
    <t>Item</t>
  </si>
  <si>
    <t>Required</t>
  </si>
  <si>
    <t>Status</t>
  </si>
  <si>
    <t>Who</t>
  </si>
  <si>
    <t>Total</t>
  </si>
  <si>
    <t>Tent Communal 10x10</t>
  </si>
  <si>
    <t>YES</t>
  </si>
  <si>
    <t>COMPLETE</t>
  </si>
  <si>
    <t>Chiara+Lynette</t>
  </si>
  <si>
    <t>Tent Sleeping Dan (sleeps 2)</t>
  </si>
  <si>
    <t>Chiara+Dan</t>
  </si>
  <si>
    <t>Tent Sleeping Lynette (sleeps 2)</t>
  </si>
  <si>
    <t>Lynette+Rene</t>
  </si>
  <si>
    <t>Tent Sleeping Johnny (sleeps 1)</t>
  </si>
  <si>
    <t>Johnny</t>
  </si>
  <si>
    <t>Tent Sleeping John M (sleeps 1)</t>
  </si>
  <si>
    <t>John M</t>
  </si>
  <si>
    <t>Tent Sleeping Ozark1 (sleeps 20)</t>
  </si>
  <si>
    <t>PENDING</t>
  </si>
  <si>
    <t>Person1+Person2+Person3+Person4+Person5+Person6+Person7+Person8</t>
  </si>
  <si>
    <t>Tent Sleeping Ozark2 (sleeps 4)</t>
  </si>
  <si>
    <t>Person1+Person2</t>
  </si>
  <si>
    <t>Tent Sleeping Claudia (sleeps 2)</t>
  </si>
  <si>
    <t>Claudia+Person2</t>
  </si>
  <si>
    <t>Tent Sleeping Embark (sleeps 1)</t>
  </si>
  <si>
    <t>Person1</t>
  </si>
  <si>
    <t>Tent Sleeping Coleman (sleeps 2)</t>
  </si>
  <si>
    <t>Car 1 (Chiara fits 5)</t>
  </si>
  <si>
    <t>Chiara+Person2+Person3+Person4+Person5</t>
  </si>
  <si>
    <t>Car 2 (Dan fits 5)</t>
  </si>
  <si>
    <t>Dan+Person2+Person3+Person4+Person5</t>
  </si>
  <si>
    <t>Car 3 Johnny</t>
  </si>
  <si>
    <t>Car 4 Lynette</t>
  </si>
  <si>
    <t>Car 5 Gretchen</t>
  </si>
  <si>
    <t>Gretchen from Cape Coral</t>
  </si>
  <si>
    <t>Car 6 John M</t>
  </si>
  <si>
    <t>John coming from Sebring</t>
  </si>
  <si>
    <t>Car 7 INPUT</t>
  </si>
  <si>
    <t>Car 8 INPUT</t>
  </si>
  <si>
    <t>TOTAL</t>
  </si>
  <si>
    <t>Area</t>
  </si>
  <si>
    <t>Req</t>
  </si>
  <si>
    <t>Owner</t>
  </si>
  <si>
    <t>Qty</t>
  </si>
  <si>
    <t>Campground</t>
  </si>
  <si>
    <t>Camp Table Main/Laptop</t>
  </si>
  <si>
    <t>NO</t>
  </si>
  <si>
    <t>Chiara</t>
  </si>
  <si>
    <t>1</t>
  </si>
  <si>
    <t>Camp Table Food (need 1)</t>
  </si>
  <si>
    <t>Large Gatorade Cooler with Water</t>
  </si>
  <si>
    <t>Chiara (borrow from Footworks)</t>
  </si>
  <si>
    <t>Cooler for food/water bottles</t>
  </si>
  <si>
    <t>Gretchen</t>
  </si>
  <si>
    <t>Tarps Blue</t>
  </si>
  <si>
    <t>6</t>
  </si>
  <si>
    <t>Tarp Clips / Bungie Cords</t>
  </si>
  <si>
    <t>Camping Gear</t>
  </si>
  <si>
    <t>Cash $10/person for park parking</t>
  </si>
  <si>
    <t>individual</t>
  </si>
  <si>
    <t>Everyone</t>
  </si>
  <si>
    <t>16</t>
  </si>
  <si>
    <t>Camp Lighting/Lanterns</t>
  </si>
  <si>
    <t>MORE IS BETTER</t>
  </si>
  <si>
    <t>Dulce</t>
  </si>
  <si>
    <t>2</t>
  </si>
  <si>
    <t>Camp Lights Ground</t>
  </si>
  <si>
    <t>nice to have</t>
  </si>
  <si>
    <t>Camping chairs</t>
  </si>
  <si>
    <t>Cots for Sleeping</t>
  </si>
  <si>
    <t>$20 to rent</t>
  </si>
  <si>
    <t>Sleeping Bag|Blanket|Pad</t>
  </si>
  <si>
    <t>Phone/Phone Charger</t>
  </si>
  <si>
    <t>Watch Charger</t>
  </si>
  <si>
    <t>Label your Charging Cords</t>
  </si>
  <si>
    <t>Laptop for Pace Actuals</t>
  </si>
  <si>
    <t>Powerbank 1</t>
  </si>
  <si>
    <t>Dan</t>
  </si>
  <si>
    <t>Powerbank 2</t>
  </si>
  <si>
    <t>Bug Repellent</t>
  </si>
  <si>
    <t>-</t>
  </si>
  <si>
    <t>Extra Batteries</t>
  </si>
  <si>
    <t>Yoga Mat</t>
  </si>
  <si>
    <t>First Aid Kit</t>
  </si>
  <si>
    <t>Food &amp; Water</t>
  </si>
  <si>
    <t>Container Hot Liquids</t>
  </si>
  <si>
    <t>Container Cold Liquids</t>
  </si>
  <si>
    <t>Reusable Utensils</t>
  </si>
  <si>
    <t>Reusable Plate + Bowl</t>
  </si>
  <si>
    <t>Electrolytes and Hydration</t>
  </si>
  <si>
    <t>Hot Apple Cider</t>
  </si>
  <si>
    <t>Cuban Coffee</t>
  </si>
  <si>
    <t>Coffee Press</t>
  </si>
  <si>
    <t>Camping Stove</t>
  </si>
  <si>
    <t>Coquito</t>
  </si>
  <si>
    <t>Breakfast</t>
  </si>
  <si>
    <t>Lunch</t>
  </si>
  <si>
    <t>Dinner</t>
  </si>
  <si>
    <t>Snacks</t>
  </si>
  <si>
    <t>Ice</t>
  </si>
  <si>
    <t>Smores Long Sticks</t>
  </si>
  <si>
    <t>Running</t>
  </si>
  <si>
    <t>Headlamp (required)</t>
  </si>
  <si>
    <t>Headlamp Backup</t>
  </si>
  <si>
    <t>Hand Flashlight</t>
  </si>
  <si>
    <t>Running Hydration Belt/Handheld</t>
  </si>
  <si>
    <t>Running GPS Watch+Charger</t>
  </si>
  <si>
    <t>Running Phone Case</t>
  </si>
  <si>
    <t>Running Top (x 3)</t>
  </si>
  <si>
    <t>Running Bottom (x 3)</t>
  </si>
  <si>
    <t>Running Underwear (x 3)</t>
  </si>
  <si>
    <t>Running Sports Bra (x 3)</t>
  </si>
  <si>
    <t>Running Hat|HeadBand (x 3)</t>
  </si>
  <si>
    <t>Running Socks (x 3)</t>
  </si>
  <si>
    <t>Running Trail Shoes</t>
  </si>
  <si>
    <t>Running Insoles</t>
  </si>
  <si>
    <t>Running Kinesiology Tape</t>
  </si>
  <si>
    <t>AirPods | Headphones</t>
  </si>
  <si>
    <t>Clothing</t>
  </si>
  <si>
    <t>Shoes | Sandals Recovery</t>
  </si>
  <si>
    <t>Sweats|Comfy Clothes</t>
  </si>
  <si>
    <t>Rain Gear|Wellies</t>
  </si>
  <si>
    <t>Plastic Bags (Used Sweaty Clothes)</t>
  </si>
  <si>
    <t>Beanie|Gloves | Ear Muffs</t>
  </si>
  <si>
    <t>Reflective Gear</t>
  </si>
  <si>
    <t>Sunglasses|Case</t>
  </si>
  <si>
    <t>Compressions</t>
  </si>
  <si>
    <t>Massage Device</t>
  </si>
  <si>
    <t>Toiletries</t>
  </si>
  <si>
    <t>Toilet Tent</t>
  </si>
  <si>
    <t>borrowed from Elian</t>
  </si>
  <si>
    <t>Toilet Bags</t>
  </si>
  <si>
    <t>I think we have lifetime supply</t>
  </si>
  <si>
    <t>Toilet Paper</t>
  </si>
  <si>
    <t>Deodorant</t>
  </si>
  <si>
    <t>Toothbrush/Toothpaste</t>
  </si>
  <si>
    <t>Body Wipes</t>
  </si>
  <si>
    <t>Anti-Chafe Balm</t>
  </si>
  <si>
    <t>Blister Protection</t>
  </si>
  <si>
    <t>Ear Plugs</t>
  </si>
  <si>
    <t>Eye Mask</t>
  </si>
  <si>
    <t>Hair Ties and Brush</t>
  </si>
  <si>
    <t>Hand Sanitizer</t>
  </si>
  <si>
    <t>Ibuprofen</t>
  </si>
  <si>
    <t>Lip Balm</t>
  </si>
  <si>
    <t>Lotion</t>
  </si>
  <si>
    <t>Sunscreen</t>
  </si>
  <si>
    <t>Other</t>
  </si>
  <si>
    <t>Wagon to transport stuff</t>
  </si>
  <si>
    <t>Camp Table Dominos</t>
  </si>
  <si>
    <t>Ukele, Guitar</t>
  </si>
  <si>
    <t>Games: Uno, Catan, etc</t>
  </si>
  <si>
    <t>Games: Cards + Apples 2 Apples</t>
  </si>
  <si>
    <t>Custom Team Shirt</t>
  </si>
  <si>
    <t>SEE SHIRT TAB</t>
  </si>
  <si>
    <t>reuse last year or buy new one</t>
  </si>
  <si>
    <t>Campsite Decoration</t>
  </si>
  <si>
    <t>SEE CAMPSITE TAB</t>
  </si>
  <si>
    <t>Telescope</t>
  </si>
  <si>
    <t>POSTER of TEAM/RACING</t>
  </si>
  <si>
    <t>Sharpee Pens</t>
  </si>
  <si>
    <t>Broom to sweep tent</t>
  </si>
  <si>
    <t>Duck Tape</t>
  </si>
  <si>
    <t>URL</t>
  </si>
  <si>
    <t>Trail Maps</t>
  </si>
  <si>
    <t>https://cdn.shopify.com/s/files/1/0695/7098/6228/files/Banner_Map_FL_T_24.pdf?v=1736277270</t>
  </si>
  <si>
    <t>Runner's Guide</t>
  </si>
  <si>
    <t>https://docs.google.com/document/d/e/2PACX-1vT_KXhJMww61mlYI1HG2GbiWHAiS5U2O2BT7V8RNCCCu8-ihn45u-2IcCsAQP-2JpwXA-RyqcmEdPSF/pub</t>
  </si>
  <si>
    <t>Relay2026 Data Workbook</t>
  </si>
  <si>
    <t>How this workbook will be used</t>
  </si>
  <si>
    <t>Update Runners!Payment when someone pays.</t>
  </si>
  <si>
    <t>Update TentList!Who for sleeping assignments.</t>
  </si>
  <si>
    <t>Update Carpool!Who for car assignments.</t>
  </si>
  <si>
    <t>Update Checklist!Status and Owner for packing tasks.</t>
  </si>
  <si>
    <t>Upload this file to GitHub as Relay2026_Data.xlsx once v8 is built to read it.</t>
  </si>
  <si>
    <t>Do not rename sheets or column headers unless we also update the app code.</t>
  </si>
  <si>
    <t>Current data source version</t>
  </si>
  <si>
    <t>v8.0 draft</t>
  </si>
  <si>
    <t>Gennifer Briggs</t>
  </si>
  <si>
    <t>305-542-0677</t>
  </si>
  <si>
    <t>Matthew</t>
  </si>
  <si>
    <t>786-525-6121</t>
  </si>
  <si>
    <t>Elizabeth Velazquez</t>
  </si>
  <si>
    <t>305-721-9423</t>
  </si>
  <si>
    <t>Brandee Helms</t>
  </si>
  <si>
    <t>863-257-5153</t>
  </si>
  <si>
    <t>Parent</t>
  </si>
  <si>
    <t>emily.umulis@gmail.com</t>
  </si>
  <si>
    <t>612-501-0468</t>
  </si>
  <si>
    <t>Mike Huguenel</t>
  </si>
  <si>
    <t>305-497-5684</t>
  </si>
  <si>
    <t>Eduardo Pelaez</t>
  </si>
  <si>
    <t>Brother</t>
  </si>
  <si>
    <t>786-510-0370</t>
  </si>
  <si>
    <t>David Umulis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</si>
</sst>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071444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71444"/>
      </patternFill>
    </fill>
    <fill>
      <patternFill patternType="solid">
        <fgColor rgb="FF35D6B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2" fillId="2" borderId="0" xfId="0" applyFont="1" applyFill="1"/>
    <xf numFmtId="0" fontId="0" fillId="0" borderId="0" xfId="0"/>
    <xf numFmtId="0" fontId="0" fillId="0" borderId="0" xfId="0" applyFill="1" applyAlignment="1">
      <alignment wrapText="1"/>
    </xf>
  </cellXfs>
  <cellStyles count="1">
    <cellStyle name="Normal" xfId="0" builtinId="0"/>
  </cellStyles>
  <dxfs count="3"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B25" sqref="B25"/>
    </sheetView>
  </sheetViews>
  <sheetFormatPr baseColWidth="10" defaultColWidth="8.83203125" defaultRowHeight="14"/>
  <cols>
    <col min="1" max="1" width="6" customWidth="1"/>
    <col min="2" max="2" width="24" customWidth="1"/>
    <col min="3" max="3" width="34.33203125" customWidth="1"/>
    <col min="4" max="6" width="10" customWidth="1"/>
    <col min="7" max="7" width="30" customWidth="1"/>
    <col min="8" max="8" width="16" customWidth="1"/>
  </cols>
  <sheetData>
    <row r="1" spans="1:8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2">
        <v>1</v>
      </c>
      <c r="B2" s="2" t="s">
        <v>8</v>
      </c>
      <c r="C2" s="2" t="s">
        <v>9</v>
      </c>
      <c r="D2" s="3">
        <v>175.9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15">
      <c r="A3" s="2">
        <v>2</v>
      </c>
      <c r="B3" s="2" t="s">
        <v>14</v>
      </c>
      <c r="C3" s="2" t="s">
        <v>9</v>
      </c>
      <c r="D3" s="3">
        <v>175.9</v>
      </c>
      <c r="E3" s="2" t="s">
        <v>15</v>
      </c>
      <c r="F3" s="2" t="s">
        <v>11</v>
      </c>
      <c r="G3" s="2" t="s">
        <v>16</v>
      </c>
      <c r="H3" s="2" t="s">
        <v>17</v>
      </c>
    </row>
    <row r="4" spans="1:8" ht="15">
      <c r="A4" s="2">
        <v>3</v>
      </c>
      <c r="B4" s="2" t="s">
        <v>18</v>
      </c>
      <c r="C4" s="2" t="s">
        <v>9</v>
      </c>
      <c r="D4" s="3">
        <v>175.9</v>
      </c>
      <c r="E4" s="2" t="s">
        <v>20</v>
      </c>
      <c r="F4" s="2" t="s">
        <v>21</v>
      </c>
      <c r="G4" s="2" t="s">
        <v>22</v>
      </c>
      <c r="H4" s="2" t="s">
        <v>23</v>
      </c>
    </row>
    <row r="5" spans="1:8" ht="15">
      <c r="A5" s="2">
        <v>4</v>
      </c>
      <c r="B5" s="2" t="s">
        <v>24</v>
      </c>
      <c r="C5" s="2" t="s">
        <v>9</v>
      </c>
      <c r="D5" s="3">
        <v>175.9</v>
      </c>
      <c r="E5" s="2" t="s">
        <v>25</v>
      </c>
      <c r="F5" s="2" t="s">
        <v>11</v>
      </c>
      <c r="G5" s="2" t="s">
        <v>26</v>
      </c>
      <c r="H5" s="2" t="s">
        <v>27</v>
      </c>
    </row>
    <row r="6" spans="1:8" ht="15">
      <c r="A6" s="2">
        <v>5</v>
      </c>
      <c r="B6" s="2" t="s">
        <v>28</v>
      </c>
      <c r="C6" s="2" t="s">
        <v>9</v>
      </c>
      <c r="D6" s="3">
        <v>175.9</v>
      </c>
      <c r="E6" s="2" t="s">
        <v>29</v>
      </c>
      <c r="F6" s="2" t="s">
        <v>11</v>
      </c>
      <c r="G6" s="5"/>
      <c r="H6" s="2" t="s">
        <v>30</v>
      </c>
    </row>
    <row r="7" spans="1:8" ht="15">
      <c r="A7" s="2">
        <v>6</v>
      </c>
      <c r="B7" s="2" t="s">
        <v>31</v>
      </c>
      <c r="C7" s="2" t="s">
        <v>9</v>
      </c>
      <c r="D7" s="3">
        <v>175.9</v>
      </c>
      <c r="E7" s="2" t="s">
        <v>32</v>
      </c>
      <c r="F7" s="2" t="s">
        <v>11</v>
      </c>
      <c r="G7" s="2" t="s">
        <v>33</v>
      </c>
      <c r="H7" s="2" t="s">
        <v>34</v>
      </c>
    </row>
    <row r="8" spans="1:8" ht="15">
      <c r="A8" s="2">
        <v>7</v>
      </c>
      <c r="B8" s="2" t="s">
        <v>35</v>
      </c>
      <c r="C8" s="2" t="s">
        <v>9</v>
      </c>
      <c r="D8" s="3">
        <v>175.9</v>
      </c>
      <c r="E8" s="2" t="s">
        <v>36</v>
      </c>
      <c r="F8" s="2" t="s">
        <v>37</v>
      </c>
      <c r="G8" s="2" t="s">
        <v>38</v>
      </c>
      <c r="H8" s="2" t="s">
        <v>39</v>
      </c>
    </row>
    <row r="9" spans="1:8" ht="15">
      <c r="A9" s="2">
        <v>8</v>
      </c>
      <c r="B9" s="2" t="s">
        <v>40</v>
      </c>
      <c r="C9" s="2" t="s">
        <v>9</v>
      </c>
      <c r="D9" s="3">
        <v>175.9</v>
      </c>
      <c r="E9" s="2" t="s">
        <v>41</v>
      </c>
      <c r="F9" s="2" t="s">
        <v>11</v>
      </c>
      <c r="G9" s="2" t="s">
        <v>42</v>
      </c>
      <c r="H9" s="2" t="s">
        <v>43</v>
      </c>
    </row>
    <row r="10" spans="1:8" ht="15">
      <c r="A10" s="2">
        <v>9</v>
      </c>
      <c r="B10" s="2" t="s">
        <v>44</v>
      </c>
      <c r="C10" s="2" t="s">
        <v>9</v>
      </c>
      <c r="D10" s="3">
        <v>175.9</v>
      </c>
      <c r="E10" s="2" t="s">
        <v>45</v>
      </c>
      <c r="F10" s="2" t="s">
        <v>46</v>
      </c>
      <c r="G10" s="2" t="s">
        <v>47</v>
      </c>
      <c r="H10" s="2" t="s">
        <v>48</v>
      </c>
    </row>
    <row r="11" spans="1:8" ht="15">
      <c r="A11" s="2">
        <v>10</v>
      </c>
      <c r="B11" s="2" t="s">
        <v>49</v>
      </c>
      <c r="C11" s="2" t="s">
        <v>9</v>
      </c>
      <c r="D11" s="3">
        <v>175.9</v>
      </c>
      <c r="E11" s="2" t="s">
        <v>50</v>
      </c>
      <c r="F11" s="2" t="s">
        <v>11</v>
      </c>
      <c r="G11" s="2" t="s">
        <v>51</v>
      </c>
      <c r="H11" s="2" t="s">
        <v>52</v>
      </c>
    </row>
    <row r="12" spans="1:8" ht="15">
      <c r="A12" s="2">
        <v>11</v>
      </c>
      <c r="B12" s="2" t="s">
        <v>53</v>
      </c>
      <c r="C12" s="2" t="s">
        <v>9</v>
      </c>
      <c r="D12" s="3">
        <v>175.9</v>
      </c>
      <c r="E12" s="2" t="s">
        <v>54</v>
      </c>
      <c r="F12" s="2" t="s">
        <v>46</v>
      </c>
      <c r="G12" s="2" t="s">
        <v>55</v>
      </c>
      <c r="H12" s="2" t="s">
        <v>56</v>
      </c>
    </row>
    <row r="13" spans="1:8" ht="15">
      <c r="A13" s="2">
        <v>12</v>
      </c>
      <c r="B13" s="2" t="s">
        <v>57</v>
      </c>
      <c r="C13" s="2" t="s">
        <v>9</v>
      </c>
      <c r="D13" s="3">
        <v>175.9</v>
      </c>
      <c r="E13" s="2" t="s">
        <v>58</v>
      </c>
      <c r="F13" s="2" t="s">
        <v>11</v>
      </c>
      <c r="G13" s="2" t="s">
        <v>59</v>
      </c>
      <c r="H13" s="2" t="s">
        <v>60</v>
      </c>
    </row>
    <row r="14" spans="1:8" ht="15">
      <c r="A14" s="2">
        <v>13</v>
      </c>
      <c r="B14" s="2" t="s">
        <v>61</v>
      </c>
      <c r="C14" s="2" t="s">
        <v>9</v>
      </c>
      <c r="D14" s="3">
        <v>175.9</v>
      </c>
      <c r="E14" s="2" t="s">
        <v>62</v>
      </c>
      <c r="F14" s="2" t="s">
        <v>21</v>
      </c>
      <c r="G14" s="2" t="s">
        <v>63</v>
      </c>
      <c r="H14" s="2" t="s">
        <v>64</v>
      </c>
    </row>
    <row r="15" spans="1:8" ht="15">
      <c r="A15" s="2">
        <v>14</v>
      </c>
      <c r="B15" s="2" t="s">
        <v>65</v>
      </c>
      <c r="C15" s="2" t="s">
        <v>9</v>
      </c>
      <c r="D15" s="3">
        <v>175.9</v>
      </c>
      <c r="E15" s="2" t="s">
        <v>66</v>
      </c>
      <c r="F15" s="2" t="s">
        <v>11</v>
      </c>
      <c r="G15" s="2" t="s">
        <v>67</v>
      </c>
      <c r="H15" s="2" t="s">
        <v>68</v>
      </c>
    </row>
    <row r="16" spans="1:8" ht="15">
      <c r="A16" s="2">
        <v>15</v>
      </c>
      <c r="B16" s="2" t="s">
        <v>69</v>
      </c>
      <c r="C16" s="2" t="s">
        <v>9</v>
      </c>
      <c r="D16" s="3">
        <v>175.9</v>
      </c>
      <c r="E16" s="2" t="s">
        <v>70</v>
      </c>
      <c r="F16" s="2" t="s">
        <v>11</v>
      </c>
      <c r="G16" s="8" t="s">
        <v>296</v>
      </c>
      <c r="H16" s="8" t="s">
        <v>297</v>
      </c>
    </row>
    <row r="17" spans="1:8" ht="15">
      <c r="A17" s="2">
        <v>16</v>
      </c>
      <c r="B17" s="2" t="s">
        <v>71</v>
      </c>
      <c r="C17" s="2" t="s">
        <v>9</v>
      </c>
      <c r="D17" s="3">
        <v>175.9</v>
      </c>
      <c r="E17" s="2" t="s">
        <v>72</v>
      </c>
      <c r="F17" s="2" t="s">
        <v>46</v>
      </c>
      <c r="G17" s="5"/>
      <c r="H17" s="2" t="s">
        <v>73</v>
      </c>
    </row>
  </sheetData>
  <conditionalFormatting sqref="C2:C17">
    <cfRule type="expression" dxfId="2" priority="1">
      <formula>C2="Paid"</formula>
    </cfRule>
    <cfRule type="expression" dxfId="1" priority="2">
      <formula>C2="Pending"</formula>
    </cfRule>
    <cfRule type="expression" dxfId="0" priority="3">
      <formula>C2="Partial"</formula>
    </cfRule>
  </conditionalFormatting>
  <dataValidations count="1">
    <dataValidation type="list" sqref="C2:C17" xr:uid="{00000000-0002-0000-0000-000000000000}">
      <formula1>"Paid,Pending,Partial"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10" sqref="C10"/>
    </sheetView>
  </sheetViews>
  <sheetFormatPr baseColWidth="10" defaultColWidth="8.83203125" defaultRowHeight="14"/>
  <cols>
    <col min="1" max="1" width="24" customWidth="1"/>
    <col min="2" max="2" width="30" customWidth="1"/>
    <col min="3" max="4" width="16" customWidth="1"/>
  </cols>
  <sheetData>
    <row r="1" spans="1:4" ht="29.25" customHeight="1">
      <c r="A1" s="1" t="s">
        <v>1</v>
      </c>
      <c r="B1" s="1" t="s">
        <v>6</v>
      </c>
      <c r="C1" s="1" t="s">
        <v>7</v>
      </c>
      <c r="D1" s="1" t="s">
        <v>74</v>
      </c>
    </row>
    <row r="2" spans="1:4" ht="15">
      <c r="A2" s="2" t="s">
        <v>75</v>
      </c>
      <c r="B2" s="2" t="s">
        <v>76</v>
      </c>
      <c r="C2" s="2" t="s">
        <v>100</v>
      </c>
      <c r="D2" s="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baseColWidth="10" defaultColWidth="8.83203125" defaultRowHeight="14"/>
  <cols>
    <col min="1" max="1" width="24" customWidth="1"/>
    <col min="2" max="2" width="8" customWidth="1"/>
    <col min="3" max="3" width="24" customWidth="1"/>
    <col min="4" max="4" width="10" customWidth="1"/>
  </cols>
  <sheetData>
    <row r="1" spans="1:4" ht="29.25" customHeight="1">
      <c r="A1" s="1" t="s">
        <v>78</v>
      </c>
      <c r="B1" s="1" t="s">
        <v>0</v>
      </c>
      <c r="C1" s="1" t="s">
        <v>1</v>
      </c>
      <c r="D1" s="1" t="s">
        <v>79</v>
      </c>
    </row>
    <row r="2" spans="1:4" ht="15">
      <c r="A2" s="2" t="s">
        <v>80</v>
      </c>
      <c r="B2" s="2">
        <v>1</v>
      </c>
      <c r="C2" s="2" t="s">
        <v>8</v>
      </c>
      <c r="D2" s="2" t="s">
        <v>11</v>
      </c>
    </row>
    <row r="3" spans="1:4" ht="15">
      <c r="A3" s="2" t="s">
        <v>80</v>
      </c>
      <c r="B3" s="2">
        <v>2</v>
      </c>
      <c r="C3" s="2" t="s">
        <v>69</v>
      </c>
      <c r="D3" s="2" t="s">
        <v>11</v>
      </c>
    </row>
    <row r="4" spans="1:4" ht="15">
      <c r="A4" s="2" t="s">
        <v>80</v>
      </c>
      <c r="B4" s="2">
        <v>3</v>
      </c>
      <c r="C4" s="2" t="s">
        <v>28</v>
      </c>
      <c r="D4" s="2" t="s">
        <v>11</v>
      </c>
    </row>
    <row r="5" spans="1:4" ht="15">
      <c r="A5" s="2" t="s">
        <v>80</v>
      </c>
      <c r="B5" s="2">
        <v>4</v>
      </c>
      <c r="C5" s="2" t="s">
        <v>61</v>
      </c>
      <c r="D5" s="2" t="s">
        <v>21</v>
      </c>
    </row>
    <row r="6" spans="1:4" ht="15">
      <c r="A6" s="2" t="s">
        <v>80</v>
      </c>
      <c r="B6" s="2">
        <v>5</v>
      </c>
      <c r="C6" s="2" t="s">
        <v>57</v>
      </c>
      <c r="D6" s="2" t="s">
        <v>11</v>
      </c>
    </row>
    <row r="7" spans="1:4" ht="15">
      <c r="A7" s="2" t="s">
        <v>80</v>
      </c>
      <c r="B7" s="2">
        <v>6</v>
      </c>
      <c r="C7" s="2" t="s">
        <v>71</v>
      </c>
      <c r="D7" s="2" t="s">
        <v>46</v>
      </c>
    </row>
    <row r="8" spans="1:4" ht="15">
      <c r="A8" s="2" t="s">
        <v>80</v>
      </c>
      <c r="B8" s="2">
        <v>7</v>
      </c>
      <c r="C8" s="2" t="s">
        <v>65</v>
      </c>
      <c r="D8" s="2" t="s">
        <v>11</v>
      </c>
    </row>
    <row r="9" spans="1:4" ht="15">
      <c r="A9" s="2" t="s">
        <v>80</v>
      </c>
      <c r="B9" s="2">
        <v>8</v>
      </c>
      <c r="C9" s="2" t="s">
        <v>18</v>
      </c>
      <c r="D9" s="2" t="s">
        <v>21</v>
      </c>
    </row>
    <row r="10" spans="1:4" ht="15">
      <c r="A10" s="2" t="s">
        <v>81</v>
      </c>
      <c r="B10" s="2">
        <v>1</v>
      </c>
      <c r="C10" s="2" t="s">
        <v>14</v>
      </c>
      <c r="D10" s="2" t="s">
        <v>11</v>
      </c>
    </row>
    <row r="11" spans="1:4" ht="15">
      <c r="A11" s="2" t="s">
        <v>81</v>
      </c>
      <c r="B11" s="2">
        <v>2</v>
      </c>
      <c r="C11" s="2" t="s">
        <v>49</v>
      </c>
      <c r="D11" s="2" t="s">
        <v>11</v>
      </c>
    </row>
    <row r="12" spans="1:4" ht="15">
      <c r="A12" s="2" t="s">
        <v>81</v>
      </c>
      <c r="B12" s="2">
        <v>3</v>
      </c>
      <c r="C12" s="2" t="s">
        <v>24</v>
      </c>
      <c r="D12" s="2" t="s">
        <v>11</v>
      </c>
    </row>
    <row r="13" spans="1:4" ht="15">
      <c r="A13" s="2" t="s">
        <v>81</v>
      </c>
      <c r="B13" s="2">
        <v>4</v>
      </c>
      <c r="C13" s="2" t="s">
        <v>35</v>
      </c>
      <c r="D13" s="2" t="s">
        <v>37</v>
      </c>
    </row>
    <row r="14" spans="1:4" ht="15">
      <c r="A14" s="2" t="s">
        <v>81</v>
      </c>
      <c r="B14" s="2">
        <v>5</v>
      </c>
      <c r="C14" s="2" t="s">
        <v>40</v>
      </c>
      <c r="D14" s="2" t="s">
        <v>11</v>
      </c>
    </row>
    <row r="15" spans="1:4" ht="15">
      <c r="A15" s="2" t="s">
        <v>81</v>
      </c>
      <c r="B15" s="2">
        <v>6</v>
      </c>
      <c r="C15" s="2" t="s">
        <v>44</v>
      </c>
      <c r="D15" s="2" t="s">
        <v>46</v>
      </c>
    </row>
    <row r="16" spans="1:4" ht="15">
      <c r="A16" s="2" t="s">
        <v>81</v>
      </c>
      <c r="B16" s="2">
        <v>7</v>
      </c>
      <c r="C16" s="2" t="s">
        <v>31</v>
      </c>
      <c r="D16" s="2" t="s">
        <v>11</v>
      </c>
    </row>
    <row r="17" spans="1:4" ht="15">
      <c r="A17" s="2" t="s">
        <v>81</v>
      </c>
      <c r="B17" s="2">
        <v>8</v>
      </c>
      <c r="C17" s="2" t="s">
        <v>53</v>
      </c>
      <c r="D17" s="2" t="s">
        <v>46</v>
      </c>
    </row>
    <row r="18" spans="1:4" ht="15">
      <c r="A18" s="2" t="s">
        <v>82</v>
      </c>
      <c r="B18" s="2"/>
      <c r="C18" s="2" t="s">
        <v>83</v>
      </c>
      <c r="D1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selection activeCell="C23" sqref="C23"/>
    </sheetView>
  </sheetViews>
  <sheetFormatPr baseColWidth="10" defaultColWidth="8.83203125" defaultRowHeight="14"/>
  <cols>
    <col min="1" max="1" width="6" customWidth="1"/>
    <col min="2" max="2" width="24" customWidth="1"/>
    <col min="3" max="3" width="28" customWidth="1"/>
    <col min="4" max="5" width="16" customWidth="1"/>
    <col min="7" max="7" width="70" customWidth="1"/>
  </cols>
  <sheetData>
    <row r="1" spans="1:5" ht="29.25" customHeight="1">
      <c r="A1" s="1" t="s">
        <v>0</v>
      </c>
      <c r="B1" s="1" t="s">
        <v>84</v>
      </c>
      <c r="C1" s="1" t="s">
        <v>85</v>
      </c>
      <c r="D1" s="1" t="s">
        <v>86</v>
      </c>
      <c r="E1" s="1" t="s">
        <v>7</v>
      </c>
    </row>
    <row r="2" spans="1:5" ht="15">
      <c r="A2" s="2">
        <v>1</v>
      </c>
      <c r="B2" s="2" t="s">
        <v>8</v>
      </c>
      <c r="C2" s="8" t="s">
        <v>87</v>
      </c>
      <c r="D2" s="8" t="s">
        <v>88</v>
      </c>
      <c r="E2" s="8" t="s">
        <v>89</v>
      </c>
    </row>
    <row r="3" spans="1:5" ht="15">
      <c r="A3" s="2">
        <v>2</v>
      </c>
      <c r="B3" s="2" t="s">
        <v>14</v>
      </c>
      <c r="C3" s="8" t="s">
        <v>90</v>
      </c>
      <c r="D3" s="8" t="s">
        <v>91</v>
      </c>
      <c r="E3" s="8" t="s">
        <v>92</v>
      </c>
    </row>
    <row r="4" spans="1:5" ht="15">
      <c r="A4" s="2">
        <v>3</v>
      </c>
      <c r="B4" s="2" t="s">
        <v>18</v>
      </c>
      <c r="C4" s="8" t="s">
        <v>93</v>
      </c>
      <c r="D4" s="8" t="s">
        <v>94</v>
      </c>
      <c r="E4" s="8" t="s">
        <v>95</v>
      </c>
    </row>
    <row r="5" spans="1:5" ht="15">
      <c r="A5" s="2">
        <v>4</v>
      </c>
      <c r="B5" s="2" t="s">
        <v>24</v>
      </c>
      <c r="C5" s="8" t="s">
        <v>96</v>
      </c>
      <c r="D5" s="8" t="s">
        <v>295</v>
      </c>
      <c r="E5" s="8" t="s">
        <v>97</v>
      </c>
    </row>
    <row r="6" spans="1:5" ht="15">
      <c r="A6" s="2">
        <v>5</v>
      </c>
      <c r="B6" s="2" t="s">
        <v>28</v>
      </c>
      <c r="C6" s="8" t="s">
        <v>96</v>
      </c>
      <c r="D6" s="8" t="s">
        <v>295</v>
      </c>
      <c r="E6" s="8" t="s">
        <v>97</v>
      </c>
    </row>
    <row r="7" spans="1:5" ht="15">
      <c r="A7" s="2">
        <v>6</v>
      </c>
      <c r="B7" s="2" t="s">
        <v>31</v>
      </c>
      <c r="C7" s="8" t="s">
        <v>98</v>
      </c>
      <c r="D7" s="8" t="s">
        <v>99</v>
      </c>
      <c r="E7" s="8" t="s">
        <v>100</v>
      </c>
    </row>
    <row r="8" spans="1:5" ht="15">
      <c r="A8" s="2">
        <v>7</v>
      </c>
      <c r="B8" s="2" t="s">
        <v>35</v>
      </c>
      <c r="C8" s="8" t="s">
        <v>289</v>
      </c>
      <c r="D8" s="8" t="s">
        <v>94</v>
      </c>
      <c r="E8" s="8" t="s">
        <v>290</v>
      </c>
    </row>
    <row r="9" spans="1:5" ht="15">
      <c r="A9" s="2">
        <v>8</v>
      </c>
      <c r="B9" s="2" t="s">
        <v>40</v>
      </c>
      <c r="C9" s="8" t="s">
        <v>298</v>
      </c>
      <c r="D9" s="8" t="s">
        <v>107</v>
      </c>
      <c r="E9" s="8" t="s">
        <v>299</v>
      </c>
    </row>
    <row r="10" spans="1:5" ht="15">
      <c r="A10" s="2">
        <v>9</v>
      </c>
      <c r="B10" s="2" t="s">
        <v>44</v>
      </c>
      <c r="C10" s="8" t="s">
        <v>101</v>
      </c>
      <c r="D10" s="8" t="s">
        <v>102</v>
      </c>
      <c r="E10" s="8" t="s">
        <v>103</v>
      </c>
    </row>
    <row r="11" spans="1:5" ht="15">
      <c r="A11" s="2">
        <v>10</v>
      </c>
      <c r="B11" s="2" t="s">
        <v>49</v>
      </c>
      <c r="C11" s="8" t="s">
        <v>104</v>
      </c>
      <c r="D11" s="8" t="s">
        <v>107</v>
      </c>
      <c r="E11" s="8" t="s">
        <v>105</v>
      </c>
    </row>
    <row r="12" spans="1:5" ht="15">
      <c r="A12" s="2">
        <v>11</v>
      </c>
      <c r="B12" s="2" t="s">
        <v>53</v>
      </c>
      <c r="C12" s="8" t="s">
        <v>106</v>
      </c>
      <c r="D12" s="8" t="s">
        <v>107</v>
      </c>
      <c r="E12" s="8" t="s">
        <v>108</v>
      </c>
    </row>
    <row r="13" spans="1:5" ht="15">
      <c r="A13" s="2">
        <v>12</v>
      </c>
      <c r="B13" s="2" t="s">
        <v>57</v>
      </c>
      <c r="C13" s="8" t="s">
        <v>300</v>
      </c>
      <c r="D13" s="8" t="s">
        <v>301</v>
      </c>
      <c r="E13" s="8" t="s">
        <v>302</v>
      </c>
    </row>
    <row r="14" spans="1:5" ht="15">
      <c r="A14" s="2">
        <v>13</v>
      </c>
      <c r="B14" s="2" t="s">
        <v>61</v>
      </c>
      <c r="C14" s="8" t="s">
        <v>291</v>
      </c>
      <c r="D14" s="8" t="s">
        <v>88</v>
      </c>
      <c r="E14" s="8" t="s">
        <v>292</v>
      </c>
    </row>
    <row r="15" spans="1:5" ht="15">
      <c r="A15" s="2">
        <v>14</v>
      </c>
      <c r="B15" s="2" t="s">
        <v>65</v>
      </c>
      <c r="C15" s="8" t="s">
        <v>287</v>
      </c>
      <c r="D15" s="8" t="s">
        <v>107</v>
      </c>
      <c r="E15" s="8" t="s">
        <v>288</v>
      </c>
    </row>
    <row r="16" spans="1:5" ht="15">
      <c r="A16" s="2">
        <v>15</v>
      </c>
      <c r="B16" s="2" t="s">
        <v>69</v>
      </c>
      <c r="C16" s="8" t="s">
        <v>303</v>
      </c>
      <c r="D16" s="8" t="s">
        <v>107</v>
      </c>
      <c r="E16" s="8" t="s">
        <v>297</v>
      </c>
    </row>
    <row r="17" spans="1:7" ht="15">
      <c r="A17" s="2">
        <v>16</v>
      </c>
      <c r="B17" s="2" t="s">
        <v>71</v>
      </c>
      <c r="C17" s="8" t="s">
        <v>293</v>
      </c>
      <c r="D17" s="8" t="s">
        <v>99</v>
      </c>
      <c r="E17" s="8" t="s">
        <v>294</v>
      </c>
    </row>
    <row r="19" spans="1:7">
      <c r="G19" s="2"/>
    </row>
    <row r="26" spans="1:7">
      <c r="G2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tabSelected="1" workbookViewId="0">
      <selection activeCell="D7" sqref="D7"/>
    </sheetView>
  </sheetViews>
  <sheetFormatPr baseColWidth="10" defaultColWidth="8.83203125" defaultRowHeight="14"/>
  <cols>
    <col min="1" max="1" width="34" customWidth="1"/>
    <col min="2" max="2" width="10" customWidth="1"/>
    <col min="3" max="3" width="12" customWidth="1"/>
    <col min="4" max="4" width="71.6640625" customWidth="1"/>
    <col min="5" max="5" width="8" customWidth="1"/>
  </cols>
  <sheetData>
    <row r="1" spans="1:5" ht="29.25" customHeight="1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</row>
    <row r="2" spans="1:5" ht="15">
      <c r="A2" s="2" t="s">
        <v>114</v>
      </c>
      <c r="B2" s="2" t="s">
        <v>115</v>
      </c>
      <c r="C2" s="2" t="s">
        <v>116</v>
      </c>
      <c r="D2" s="2" t="s">
        <v>117</v>
      </c>
      <c r="E2" s="2">
        <v>2</v>
      </c>
    </row>
    <row r="3" spans="1:5" ht="15">
      <c r="A3" s="2" t="s">
        <v>118</v>
      </c>
      <c r="B3" s="2" t="s">
        <v>115</v>
      </c>
      <c r="C3" s="2" t="s">
        <v>116</v>
      </c>
      <c r="D3" s="2" t="s">
        <v>119</v>
      </c>
      <c r="E3" s="2">
        <v>2</v>
      </c>
    </row>
    <row r="4" spans="1:5" ht="15">
      <c r="A4" s="2" t="s">
        <v>120</v>
      </c>
      <c r="B4" s="2" t="s">
        <v>115</v>
      </c>
      <c r="C4" s="2" t="s">
        <v>116</v>
      </c>
      <c r="D4" s="2" t="s">
        <v>121</v>
      </c>
      <c r="E4" s="2">
        <v>2</v>
      </c>
    </row>
    <row r="5" spans="1:5" ht="15">
      <c r="A5" s="2" t="s">
        <v>122</v>
      </c>
      <c r="B5" s="2" t="s">
        <v>115</v>
      </c>
      <c r="C5" s="2" t="s">
        <v>116</v>
      </c>
      <c r="D5" s="2" t="s">
        <v>123</v>
      </c>
      <c r="E5" s="2">
        <v>1</v>
      </c>
    </row>
    <row r="6" spans="1:5" ht="15">
      <c r="A6" s="2" t="s">
        <v>124</v>
      </c>
      <c r="B6" s="2" t="s">
        <v>115</v>
      </c>
      <c r="C6" s="2" t="s">
        <v>116</v>
      </c>
      <c r="D6" s="2" t="s">
        <v>125</v>
      </c>
      <c r="E6" s="2">
        <v>1</v>
      </c>
    </row>
    <row r="7" spans="1:5" ht="15">
      <c r="A7" s="2" t="s">
        <v>126</v>
      </c>
      <c r="B7" s="2" t="s">
        <v>115</v>
      </c>
      <c r="C7" s="2" t="s">
        <v>127</v>
      </c>
      <c r="D7" s="2" t="s">
        <v>128</v>
      </c>
      <c r="E7" s="2">
        <v>8</v>
      </c>
    </row>
    <row r="8" spans="1:5" ht="15">
      <c r="A8" s="2" t="s">
        <v>129</v>
      </c>
      <c r="B8" s="2" t="s">
        <v>115</v>
      </c>
      <c r="C8" s="2" t="s">
        <v>127</v>
      </c>
      <c r="D8" s="2" t="s">
        <v>130</v>
      </c>
      <c r="E8" s="2">
        <v>2</v>
      </c>
    </row>
    <row r="9" spans="1:5" ht="15">
      <c r="A9" s="2" t="s">
        <v>131</v>
      </c>
      <c r="B9" s="2" t="s">
        <v>115</v>
      </c>
      <c r="C9" s="2" t="s">
        <v>127</v>
      </c>
      <c r="D9" s="2" t="s">
        <v>132</v>
      </c>
      <c r="E9" s="2">
        <v>2</v>
      </c>
    </row>
    <row r="10" spans="1:5" ht="15">
      <c r="A10" s="2" t="s">
        <v>133</v>
      </c>
      <c r="B10" s="2" t="s">
        <v>115</v>
      </c>
      <c r="C10" s="2" t="s">
        <v>127</v>
      </c>
      <c r="D10" s="2" t="s">
        <v>134</v>
      </c>
      <c r="E10" s="2">
        <v>1</v>
      </c>
    </row>
    <row r="11" spans="1:5" ht="15">
      <c r="A11" s="2" t="s">
        <v>135</v>
      </c>
      <c r="B11" s="2" t="s">
        <v>115</v>
      </c>
      <c r="C11" s="2" t="s">
        <v>127</v>
      </c>
      <c r="D11" s="2" t="s">
        <v>130</v>
      </c>
      <c r="E11" s="2">
        <v>1</v>
      </c>
    </row>
    <row r="12" spans="1:5">
      <c r="E12">
        <f>SUM(E2:E11)</f>
        <v>22</v>
      </c>
    </row>
  </sheetData>
  <dataValidations count="1">
    <dataValidation type="list" sqref="C2:C11" xr:uid="{00000000-0002-0000-0400-000000000000}">
      <formula1>"COMPLETE,PENDING,CONFIRM"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D11" sqref="D11"/>
    </sheetView>
  </sheetViews>
  <sheetFormatPr baseColWidth="10" defaultColWidth="8.83203125" defaultRowHeight="14"/>
  <cols>
    <col min="1" max="1" width="28" customWidth="1"/>
    <col min="2" max="2" width="12" customWidth="1"/>
    <col min="3" max="3" width="42" customWidth="1"/>
    <col min="4" max="4" width="8" customWidth="1"/>
  </cols>
  <sheetData>
    <row r="1" spans="1:4" ht="29.25" customHeight="1">
      <c r="A1" s="1" t="s">
        <v>109</v>
      </c>
      <c r="B1" s="1" t="s">
        <v>111</v>
      </c>
      <c r="C1" s="1" t="s">
        <v>112</v>
      </c>
      <c r="D1" s="1" t="s">
        <v>113</v>
      </c>
    </row>
    <row r="2" spans="1:4" ht="15">
      <c r="A2" s="2" t="s">
        <v>136</v>
      </c>
      <c r="B2" s="2" t="s">
        <v>19</v>
      </c>
      <c r="C2" s="2" t="s">
        <v>137</v>
      </c>
      <c r="D2" s="2">
        <v>5</v>
      </c>
    </row>
    <row r="3" spans="1:4" ht="15">
      <c r="A3" s="2" t="s">
        <v>138</v>
      </c>
      <c r="B3" s="2" t="s">
        <v>19</v>
      </c>
      <c r="C3" s="2" t="s">
        <v>139</v>
      </c>
      <c r="D3" s="2">
        <v>5</v>
      </c>
    </row>
    <row r="4" spans="1:4" ht="15">
      <c r="A4" s="2" t="s">
        <v>140</v>
      </c>
      <c r="B4" s="2" t="s">
        <v>19</v>
      </c>
      <c r="C4" s="2" t="s">
        <v>123</v>
      </c>
      <c r="D4" s="2">
        <v>1</v>
      </c>
    </row>
    <row r="5" spans="1:4" ht="15">
      <c r="A5" s="2" t="s">
        <v>141</v>
      </c>
      <c r="B5" s="2" t="s">
        <v>19</v>
      </c>
      <c r="C5" s="2" t="s">
        <v>121</v>
      </c>
      <c r="D5" s="2">
        <v>2</v>
      </c>
    </row>
    <row r="6" spans="1:4" ht="15">
      <c r="A6" s="2" t="s">
        <v>142</v>
      </c>
      <c r="B6" s="2" t="s">
        <v>19</v>
      </c>
      <c r="C6" s="2" t="s">
        <v>143</v>
      </c>
      <c r="D6" s="2">
        <v>1</v>
      </c>
    </row>
    <row r="7" spans="1:4" ht="15">
      <c r="A7" s="2" t="s">
        <v>144</v>
      </c>
      <c r="B7" s="2" t="s">
        <v>19</v>
      </c>
      <c r="C7" s="2" t="s">
        <v>145</v>
      </c>
      <c r="D7" s="2">
        <v>1</v>
      </c>
    </row>
    <row r="8" spans="1:4" ht="15">
      <c r="A8" s="2" t="s">
        <v>146</v>
      </c>
      <c r="B8" s="2" t="s">
        <v>19</v>
      </c>
      <c r="C8" s="2"/>
      <c r="D8" s="2">
        <v>1</v>
      </c>
    </row>
    <row r="9" spans="1:4" ht="15">
      <c r="A9" s="2" t="s">
        <v>147</v>
      </c>
      <c r="B9" s="2" t="s">
        <v>19</v>
      </c>
      <c r="C9" s="2"/>
      <c r="D9" s="2">
        <v>1</v>
      </c>
    </row>
    <row r="10" spans="1:4" ht="15">
      <c r="A10" s="2" t="s">
        <v>148</v>
      </c>
      <c r="B10" s="2"/>
      <c r="C10" s="2"/>
      <c r="D10" s="2">
        <f>SUM(D2:D9)</f>
        <v>17</v>
      </c>
    </row>
  </sheetData>
  <dataValidations count="1">
    <dataValidation type="list" sqref="B2:B9" xr:uid="{00000000-0002-0000-0500-000000000000}">
      <formula1>"Pending,Complete,Confirm"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4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4"/>
  <cols>
    <col min="1" max="1" width="16" customWidth="1"/>
    <col min="2" max="2" width="43.6640625" customWidth="1"/>
    <col min="3" max="3" width="16.1640625" customWidth="1"/>
    <col min="4" max="4" width="27.83203125" customWidth="1"/>
    <col min="5" max="5" width="32.83203125" customWidth="1"/>
    <col min="6" max="6" width="17.83203125" customWidth="1"/>
  </cols>
  <sheetData>
    <row r="1" spans="1:6" ht="16">
      <c r="A1" s="1" t="s">
        <v>149</v>
      </c>
      <c r="B1" s="1" t="s">
        <v>109</v>
      </c>
      <c r="C1" s="1" t="s">
        <v>150</v>
      </c>
      <c r="D1" s="1" t="s">
        <v>111</v>
      </c>
      <c r="E1" s="1" t="s">
        <v>151</v>
      </c>
      <c r="F1" s="1" t="s">
        <v>152</v>
      </c>
    </row>
    <row r="2" spans="1:6" ht="15">
      <c r="A2" s="2" t="s">
        <v>153</v>
      </c>
      <c r="B2" s="2" t="s">
        <v>154</v>
      </c>
      <c r="C2" s="2" t="s">
        <v>155</v>
      </c>
      <c r="D2" s="2" t="s">
        <v>116</v>
      </c>
      <c r="E2" s="2" t="s">
        <v>156</v>
      </c>
      <c r="F2" s="2" t="s">
        <v>157</v>
      </c>
    </row>
    <row r="3" spans="1:6" ht="15">
      <c r="A3" s="2" t="s">
        <v>153</v>
      </c>
      <c r="B3" s="2" t="s">
        <v>158</v>
      </c>
      <c r="C3" s="2" t="s">
        <v>155</v>
      </c>
      <c r="D3" s="2" t="s">
        <v>116</v>
      </c>
      <c r="E3" s="2" t="s">
        <v>123</v>
      </c>
      <c r="F3" s="2" t="s">
        <v>157</v>
      </c>
    </row>
    <row r="4" spans="1:6" ht="15">
      <c r="A4" s="2" t="s">
        <v>153</v>
      </c>
      <c r="B4" s="2" t="s">
        <v>159</v>
      </c>
      <c r="C4" s="2" t="s">
        <v>115</v>
      </c>
      <c r="D4" s="2" t="s">
        <v>116</v>
      </c>
      <c r="E4" s="2" t="s">
        <v>160</v>
      </c>
      <c r="F4" s="2" t="s">
        <v>157</v>
      </c>
    </row>
    <row r="5" spans="1:6" ht="15">
      <c r="A5" s="2" t="s">
        <v>153</v>
      </c>
      <c r="B5" s="2" t="s">
        <v>161</v>
      </c>
      <c r="C5" s="2" t="s">
        <v>115</v>
      </c>
      <c r="D5" s="2" t="s">
        <v>116</v>
      </c>
      <c r="E5" s="2" t="s">
        <v>162</v>
      </c>
      <c r="F5" s="2" t="s">
        <v>157</v>
      </c>
    </row>
    <row r="6" spans="1:6" ht="15">
      <c r="A6" s="2" t="s">
        <v>153</v>
      </c>
      <c r="B6" s="2" t="s">
        <v>163</v>
      </c>
      <c r="C6" s="2" t="s">
        <v>115</v>
      </c>
      <c r="D6" s="2" t="s">
        <v>116</v>
      </c>
      <c r="E6" s="2" t="s">
        <v>119</v>
      </c>
      <c r="F6" s="2" t="s">
        <v>164</v>
      </c>
    </row>
    <row r="7" spans="1:6" ht="15">
      <c r="A7" s="2" t="s">
        <v>153</v>
      </c>
      <c r="B7" s="2" t="s">
        <v>165</v>
      </c>
      <c r="C7" s="2" t="s">
        <v>115</v>
      </c>
      <c r="D7" s="2" t="s">
        <v>116</v>
      </c>
      <c r="E7" s="2" t="s">
        <v>119</v>
      </c>
      <c r="F7" s="2" t="s">
        <v>164</v>
      </c>
    </row>
    <row r="8" spans="1:6" ht="15">
      <c r="A8" s="2" t="s">
        <v>166</v>
      </c>
      <c r="B8" s="2" t="s">
        <v>167</v>
      </c>
      <c r="C8" s="2" t="s">
        <v>115</v>
      </c>
      <c r="D8" s="2" t="s">
        <v>168</v>
      </c>
      <c r="E8" s="2" t="s">
        <v>169</v>
      </c>
      <c r="F8" s="2" t="s">
        <v>170</v>
      </c>
    </row>
    <row r="9" spans="1:6" ht="15">
      <c r="A9" s="2" t="s">
        <v>166</v>
      </c>
      <c r="B9" s="2" t="s">
        <v>171</v>
      </c>
      <c r="C9" s="2" t="s">
        <v>155</v>
      </c>
      <c r="D9" s="2" t="s">
        <v>172</v>
      </c>
      <c r="E9" s="2"/>
      <c r="F9" s="2" t="s">
        <v>157</v>
      </c>
    </row>
    <row r="10" spans="1:6" ht="15">
      <c r="A10" s="2" t="s">
        <v>166</v>
      </c>
      <c r="B10" s="2" t="s">
        <v>171</v>
      </c>
      <c r="C10" s="2" t="s">
        <v>155</v>
      </c>
      <c r="D10" s="2" t="s">
        <v>116</v>
      </c>
      <c r="E10" s="2" t="s">
        <v>173</v>
      </c>
      <c r="F10" s="2" t="s">
        <v>174</v>
      </c>
    </row>
    <row r="11" spans="1:6" ht="15">
      <c r="A11" s="2" t="s">
        <v>166</v>
      </c>
      <c r="B11" s="2" t="s">
        <v>175</v>
      </c>
      <c r="C11" s="2" t="s">
        <v>155</v>
      </c>
      <c r="D11" s="2" t="s">
        <v>176</v>
      </c>
      <c r="E11" s="2"/>
      <c r="F11" s="2"/>
    </row>
    <row r="12" spans="1:6" ht="15">
      <c r="A12" s="2" t="s">
        <v>166</v>
      </c>
      <c r="B12" s="2" t="s">
        <v>177</v>
      </c>
      <c r="C12" s="2" t="s">
        <v>115</v>
      </c>
      <c r="D12" s="2" t="s">
        <v>168</v>
      </c>
      <c r="E12" s="2" t="s">
        <v>169</v>
      </c>
      <c r="F12" s="2" t="s">
        <v>170</v>
      </c>
    </row>
    <row r="13" spans="1:6" ht="15">
      <c r="A13" s="2" t="s">
        <v>166</v>
      </c>
      <c r="B13" s="2" t="s">
        <v>178</v>
      </c>
      <c r="C13" s="2" t="s">
        <v>115</v>
      </c>
      <c r="D13" s="2" t="s">
        <v>179</v>
      </c>
      <c r="E13" s="2" t="s">
        <v>169</v>
      </c>
      <c r="F13" s="2" t="s">
        <v>170</v>
      </c>
    </row>
    <row r="14" spans="1:6" ht="15">
      <c r="A14" s="2" t="s">
        <v>166</v>
      </c>
      <c r="B14" s="2" t="s">
        <v>180</v>
      </c>
      <c r="C14" s="2" t="s">
        <v>115</v>
      </c>
      <c r="D14" s="2" t="s">
        <v>168</v>
      </c>
      <c r="E14" s="2" t="s">
        <v>169</v>
      </c>
      <c r="F14" s="2" t="s">
        <v>170</v>
      </c>
    </row>
    <row r="15" spans="1:6" ht="15">
      <c r="A15" s="2" t="s">
        <v>166</v>
      </c>
      <c r="B15" s="2" t="s">
        <v>181</v>
      </c>
      <c r="C15" s="2" t="s">
        <v>115</v>
      </c>
      <c r="D15" s="2" t="s">
        <v>168</v>
      </c>
      <c r="E15" s="2" t="s">
        <v>169</v>
      </c>
      <c r="F15" s="2" t="s">
        <v>170</v>
      </c>
    </row>
    <row r="16" spans="1:6" ht="15">
      <c r="A16" s="2" t="s">
        <v>166</v>
      </c>
      <c r="B16" s="2" t="s">
        <v>182</v>
      </c>
      <c r="C16" s="2" t="s">
        <v>115</v>
      </c>
      <c r="D16" s="2" t="s">
        <v>168</v>
      </c>
      <c r="E16" s="2" t="s">
        <v>169</v>
      </c>
      <c r="F16" s="2" t="s">
        <v>170</v>
      </c>
    </row>
    <row r="17" spans="1:6" ht="15">
      <c r="A17" s="2" t="s">
        <v>166</v>
      </c>
      <c r="B17" s="2" t="s">
        <v>183</v>
      </c>
      <c r="C17" s="2" t="s">
        <v>115</v>
      </c>
      <c r="D17" s="2" t="s">
        <v>168</v>
      </c>
      <c r="E17" s="2" t="s">
        <v>169</v>
      </c>
      <c r="F17" s="2" t="s">
        <v>157</v>
      </c>
    </row>
    <row r="18" spans="1:6" ht="15">
      <c r="A18" s="2" t="s">
        <v>166</v>
      </c>
      <c r="B18" s="2" t="s">
        <v>184</v>
      </c>
      <c r="C18" s="2" t="s">
        <v>115</v>
      </c>
      <c r="D18" s="2" t="s">
        <v>116</v>
      </c>
      <c r="E18" s="2" t="s">
        <v>156</v>
      </c>
      <c r="F18" s="2" t="s">
        <v>157</v>
      </c>
    </row>
    <row r="19" spans="1:6" ht="15">
      <c r="A19" s="2" t="s">
        <v>166</v>
      </c>
      <c r="B19" s="2" t="s">
        <v>185</v>
      </c>
      <c r="C19" s="2" t="s">
        <v>155</v>
      </c>
      <c r="D19" s="2" t="s">
        <v>116</v>
      </c>
      <c r="E19" s="2" t="s">
        <v>186</v>
      </c>
      <c r="F19" s="2" t="s">
        <v>157</v>
      </c>
    </row>
    <row r="20" spans="1:6" ht="15">
      <c r="A20" s="2" t="s">
        <v>166</v>
      </c>
      <c r="B20" s="2" t="s">
        <v>187</v>
      </c>
      <c r="C20" s="2" t="s">
        <v>155</v>
      </c>
      <c r="D20" s="2"/>
      <c r="E20" s="2"/>
      <c r="F20" s="2" t="s">
        <v>157</v>
      </c>
    </row>
    <row r="21" spans="1:6" ht="15">
      <c r="A21" s="2" t="s">
        <v>166</v>
      </c>
      <c r="B21" s="2" t="s">
        <v>188</v>
      </c>
      <c r="C21" s="2" t="s">
        <v>155</v>
      </c>
      <c r="D21" s="2"/>
      <c r="E21" s="2"/>
      <c r="F21" s="2" t="s">
        <v>189</v>
      </c>
    </row>
    <row r="22" spans="1:6" ht="15">
      <c r="A22" s="2" t="s">
        <v>166</v>
      </c>
      <c r="B22" s="2" t="s">
        <v>190</v>
      </c>
      <c r="C22" s="2" t="s">
        <v>155</v>
      </c>
      <c r="D22" s="2" t="s">
        <v>168</v>
      </c>
      <c r="E22" s="2" t="s">
        <v>169</v>
      </c>
      <c r="F22" s="2" t="s">
        <v>189</v>
      </c>
    </row>
    <row r="23" spans="1:6" ht="15">
      <c r="A23" s="2" t="s">
        <v>166</v>
      </c>
      <c r="B23" s="2" t="s">
        <v>191</v>
      </c>
      <c r="C23" s="2" t="s">
        <v>155</v>
      </c>
      <c r="D23" s="2" t="s">
        <v>168</v>
      </c>
      <c r="E23" s="2" t="s">
        <v>169</v>
      </c>
      <c r="F23" s="2" t="s">
        <v>189</v>
      </c>
    </row>
    <row r="24" spans="1:6" ht="15">
      <c r="A24" s="2" t="s">
        <v>166</v>
      </c>
      <c r="B24" s="2" t="s">
        <v>192</v>
      </c>
      <c r="C24" s="2" t="s">
        <v>155</v>
      </c>
      <c r="D24" s="2"/>
      <c r="E24" s="2"/>
      <c r="F24" s="2" t="s">
        <v>157</v>
      </c>
    </row>
    <row r="25" spans="1:6" ht="15">
      <c r="A25" s="2" t="s">
        <v>193</v>
      </c>
      <c r="B25" s="2" t="s">
        <v>194</v>
      </c>
      <c r="C25" s="2" t="s">
        <v>115</v>
      </c>
      <c r="D25" s="2" t="s">
        <v>168</v>
      </c>
      <c r="E25" s="2" t="s">
        <v>169</v>
      </c>
      <c r="F25" s="2" t="s">
        <v>170</v>
      </c>
    </row>
    <row r="26" spans="1:6" ht="15">
      <c r="A26" s="2" t="s">
        <v>193</v>
      </c>
      <c r="B26" s="2" t="s">
        <v>195</v>
      </c>
      <c r="C26" s="2" t="s">
        <v>115</v>
      </c>
      <c r="D26" s="2" t="s">
        <v>168</v>
      </c>
      <c r="E26" s="2" t="s">
        <v>169</v>
      </c>
      <c r="F26" s="2" t="s">
        <v>170</v>
      </c>
    </row>
    <row r="27" spans="1:6" ht="15">
      <c r="A27" s="2" t="s">
        <v>193</v>
      </c>
      <c r="B27" s="2" t="s">
        <v>196</v>
      </c>
      <c r="C27" s="2" t="s">
        <v>115</v>
      </c>
      <c r="D27" s="2" t="s">
        <v>168</v>
      </c>
      <c r="E27" s="2" t="s">
        <v>169</v>
      </c>
      <c r="F27" s="2" t="s">
        <v>170</v>
      </c>
    </row>
    <row r="28" spans="1:6" ht="15">
      <c r="A28" s="2" t="s">
        <v>193</v>
      </c>
      <c r="B28" s="2" t="s">
        <v>197</v>
      </c>
      <c r="C28" s="2" t="s">
        <v>115</v>
      </c>
      <c r="D28" s="2" t="s">
        <v>168</v>
      </c>
      <c r="E28" s="2" t="s">
        <v>169</v>
      </c>
      <c r="F28" s="2" t="s">
        <v>170</v>
      </c>
    </row>
    <row r="29" spans="1:6" ht="15">
      <c r="A29" s="2" t="s">
        <v>193</v>
      </c>
      <c r="B29" s="2" t="s">
        <v>198</v>
      </c>
      <c r="C29" s="2" t="s">
        <v>115</v>
      </c>
      <c r="D29" s="2" t="s">
        <v>168</v>
      </c>
      <c r="E29" s="2" t="s">
        <v>169</v>
      </c>
      <c r="F29" s="2" t="s">
        <v>170</v>
      </c>
    </row>
    <row r="30" spans="1:6" ht="15">
      <c r="A30" s="2" t="s">
        <v>193</v>
      </c>
      <c r="B30" s="2" t="s">
        <v>199</v>
      </c>
      <c r="C30" s="2" t="s">
        <v>155</v>
      </c>
      <c r="D30" s="2" t="s">
        <v>116</v>
      </c>
      <c r="E30" s="2" t="s">
        <v>156</v>
      </c>
      <c r="F30" s="2" t="s">
        <v>157</v>
      </c>
    </row>
    <row r="31" spans="1:6" ht="15">
      <c r="A31" s="2" t="s">
        <v>193</v>
      </c>
      <c r="B31" s="2" t="s">
        <v>200</v>
      </c>
      <c r="C31" s="2" t="s">
        <v>155</v>
      </c>
      <c r="D31" s="2"/>
      <c r="E31" s="2"/>
      <c r="F31" s="2" t="s">
        <v>157</v>
      </c>
    </row>
    <row r="32" spans="1:6" ht="15">
      <c r="A32" s="2" t="s">
        <v>193</v>
      </c>
      <c r="B32" s="2" t="s">
        <v>201</v>
      </c>
      <c r="C32" s="2" t="s">
        <v>155</v>
      </c>
      <c r="D32" s="2"/>
      <c r="E32" s="2"/>
      <c r="F32" s="2" t="s">
        <v>157</v>
      </c>
    </row>
    <row r="33" spans="1:6" ht="15">
      <c r="A33" s="2" t="s">
        <v>193</v>
      </c>
      <c r="B33" s="2" t="s">
        <v>202</v>
      </c>
      <c r="C33" s="2" t="s">
        <v>155</v>
      </c>
      <c r="D33" s="2"/>
      <c r="E33" s="2"/>
      <c r="F33" s="2" t="s">
        <v>189</v>
      </c>
    </row>
    <row r="34" spans="1:6" ht="15">
      <c r="A34" s="2" t="s">
        <v>193</v>
      </c>
      <c r="B34" s="2" t="s">
        <v>203</v>
      </c>
      <c r="C34" s="2" t="s">
        <v>155</v>
      </c>
      <c r="D34" s="2"/>
      <c r="E34" s="2"/>
      <c r="F34" s="2" t="s">
        <v>189</v>
      </c>
    </row>
    <row r="35" spans="1:6" ht="15">
      <c r="A35" s="2" t="s">
        <v>193</v>
      </c>
      <c r="B35" s="2" t="s">
        <v>204</v>
      </c>
      <c r="C35" s="2" t="s">
        <v>155</v>
      </c>
      <c r="D35" s="2"/>
      <c r="E35" s="2"/>
      <c r="F35" s="2" t="s">
        <v>189</v>
      </c>
    </row>
    <row r="36" spans="1:6" ht="15">
      <c r="A36" s="2" t="s">
        <v>193</v>
      </c>
      <c r="B36" s="2" t="s">
        <v>205</v>
      </c>
      <c r="C36" s="2" t="s">
        <v>155</v>
      </c>
      <c r="D36" s="2"/>
      <c r="E36" s="2"/>
      <c r="F36" s="2" t="s">
        <v>189</v>
      </c>
    </row>
    <row r="37" spans="1:6" ht="15">
      <c r="A37" s="2" t="s">
        <v>193</v>
      </c>
      <c r="B37" s="2" t="s">
        <v>206</v>
      </c>
      <c r="C37" s="2" t="s">
        <v>155</v>
      </c>
      <c r="D37" s="2"/>
      <c r="E37" s="2"/>
      <c r="F37" s="2" t="s">
        <v>189</v>
      </c>
    </row>
    <row r="38" spans="1:6" ht="15">
      <c r="A38" s="2" t="s">
        <v>193</v>
      </c>
      <c r="B38" s="2" t="s">
        <v>207</v>
      </c>
      <c r="C38" s="2" t="s">
        <v>155</v>
      </c>
      <c r="D38" s="2"/>
      <c r="E38" s="2"/>
      <c r="F38" s="2" t="s">
        <v>189</v>
      </c>
    </row>
    <row r="39" spans="1:6" ht="15">
      <c r="A39" s="2" t="s">
        <v>193</v>
      </c>
      <c r="B39" s="2" t="s">
        <v>208</v>
      </c>
      <c r="C39" s="2" t="s">
        <v>155</v>
      </c>
      <c r="D39" s="2"/>
      <c r="E39" s="2"/>
      <c r="F39" s="2" t="s">
        <v>189</v>
      </c>
    </row>
    <row r="40" spans="1:6" ht="15">
      <c r="A40" s="2" t="s">
        <v>193</v>
      </c>
      <c r="B40" s="2" t="s">
        <v>209</v>
      </c>
      <c r="C40" s="2" t="s">
        <v>155</v>
      </c>
      <c r="D40" s="2"/>
      <c r="E40" s="2"/>
      <c r="F40" s="2" t="s">
        <v>189</v>
      </c>
    </row>
    <row r="41" spans="1:6" ht="15">
      <c r="A41" s="2" t="s">
        <v>210</v>
      </c>
      <c r="B41" s="2" t="s">
        <v>211</v>
      </c>
      <c r="C41" s="2" t="s">
        <v>115</v>
      </c>
      <c r="D41" s="2" t="s">
        <v>168</v>
      </c>
      <c r="E41" s="2" t="s">
        <v>169</v>
      </c>
      <c r="F41" s="2" t="s">
        <v>170</v>
      </c>
    </row>
    <row r="42" spans="1:6" ht="15">
      <c r="A42" s="2" t="s">
        <v>210</v>
      </c>
      <c r="B42" s="2" t="s">
        <v>212</v>
      </c>
      <c r="C42" s="2" t="s">
        <v>155</v>
      </c>
      <c r="D42" s="2" t="s">
        <v>168</v>
      </c>
      <c r="E42" s="2" t="s">
        <v>169</v>
      </c>
      <c r="F42" s="2" t="s">
        <v>189</v>
      </c>
    </row>
    <row r="43" spans="1:6" ht="15">
      <c r="A43" s="2" t="s">
        <v>210</v>
      </c>
      <c r="B43" s="2" t="s">
        <v>213</v>
      </c>
      <c r="C43" s="2" t="s">
        <v>155</v>
      </c>
      <c r="D43" s="2" t="s">
        <v>168</v>
      </c>
      <c r="E43" s="2" t="s">
        <v>169</v>
      </c>
      <c r="F43" s="2" t="s">
        <v>189</v>
      </c>
    </row>
    <row r="44" spans="1:6" ht="15">
      <c r="A44" s="2" t="s">
        <v>210</v>
      </c>
      <c r="B44" s="2" t="s">
        <v>214</v>
      </c>
      <c r="C44" s="2" t="s">
        <v>155</v>
      </c>
      <c r="D44" s="2" t="s">
        <v>168</v>
      </c>
      <c r="E44" s="2" t="s">
        <v>169</v>
      </c>
      <c r="F44" s="2" t="s">
        <v>189</v>
      </c>
    </row>
    <row r="45" spans="1:6" ht="15">
      <c r="A45" s="2" t="s">
        <v>210</v>
      </c>
      <c r="B45" s="2" t="s">
        <v>215</v>
      </c>
      <c r="C45" s="2" t="s">
        <v>115</v>
      </c>
      <c r="D45" s="2" t="s">
        <v>168</v>
      </c>
      <c r="E45" s="2" t="s">
        <v>169</v>
      </c>
      <c r="F45" s="2" t="s">
        <v>170</v>
      </c>
    </row>
    <row r="46" spans="1:6" ht="15">
      <c r="A46" s="2" t="s">
        <v>210</v>
      </c>
      <c r="B46" s="2" t="s">
        <v>216</v>
      </c>
      <c r="C46" s="2" t="s">
        <v>155</v>
      </c>
      <c r="D46" s="2" t="s">
        <v>168</v>
      </c>
      <c r="E46" s="2" t="s">
        <v>169</v>
      </c>
      <c r="F46" s="2" t="s">
        <v>189</v>
      </c>
    </row>
    <row r="47" spans="1:6" ht="15">
      <c r="A47" s="2" t="s">
        <v>210</v>
      </c>
      <c r="B47" s="2" t="s">
        <v>217</v>
      </c>
      <c r="C47" s="2" t="s">
        <v>115</v>
      </c>
      <c r="D47" s="2" t="s">
        <v>168</v>
      </c>
      <c r="E47" s="2" t="s">
        <v>169</v>
      </c>
      <c r="F47" s="2" t="s">
        <v>170</v>
      </c>
    </row>
    <row r="48" spans="1:6" ht="15">
      <c r="A48" s="2" t="s">
        <v>210</v>
      </c>
      <c r="B48" s="2" t="s">
        <v>218</v>
      </c>
      <c r="C48" s="2" t="s">
        <v>115</v>
      </c>
      <c r="D48" s="2" t="s">
        <v>168</v>
      </c>
      <c r="E48" s="2" t="s">
        <v>169</v>
      </c>
      <c r="F48" s="2" t="s">
        <v>170</v>
      </c>
    </row>
    <row r="49" spans="1:6" ht="15">
      <c r="A49" s="2" t="s">
        <v>210</v>
      </c>
      <c r="B49" s="2" t="s">
        <v>219</v>
      </c>
      <c r="C49" s="2" t="s">
        <v>115</v>
      </c>
      <c r="D49" s="2" t="s">
        <v>168</v>
      </c>
      <c r="E49" s="2" t="s">
        <v>169</v>
      </c>
      <c r="F49" s="2" t="s">
        <v>170</v>
      </c>
    </row>
    <row r="50" spans="1:6" ht="15">
      <c r="A50" s="2" t="s">
        <v>210</v>
      </c>
      <c r="B50" s="2" t="s">
        <v>220</v>
      </c>
      <c r="C50" s="2" t="s">
        <v>155</v>
      </c>
      <c r="D50" s="2" t="s">
        <v>168</v>
      </c>
      <c r="E50" s="2" t="s">
        <v>169</v>
      </c>
      <c r="F50" s="2" t="s">
        <v>189</v>
      </c>
    </row>
    <row r="51" spans="1:6" ht="15">
      <c r="A51" s="2" t="s">
        <v>210</v>
      </c>
      <c r="B51" s="2" t="s">
        <v>221</v>
      </c>
      <c r="C51" s="2" t="s">
        <v>115</v>
      </c>
      <c r="D51" s="2" t="s">
        <v>168</v>
      </c>
      <c r="E51" s="2" t="s">
        <v>169</v>
      </c>
      <c r="F51" s="2" t="s">
        <v>170</v>
      </c>
    </row>
    <row r="52" spans="1:6" ht="15">
      <c r="A52" s="2" t="s">
        <v>210</v>
      </c>
      <c r="B52" s="2" t="s">
        <v>222</v>
      </c>
      <c r="C52" s="2" t="s">
        <v>115</v>
      </c>
      <c r="D52" s="2" t="s">
        <v>168</v>
      </c>
      <c r="E52" s="2" t="s">
        <v>169</v>
      </c>
      <c r="F52" s="2" t="s">
        <v>170</v>
      </c>
    </row>
    <row r="53" spans="1:6" ht="15">
      <c r="A53" s="2" t="s">
        <v>210</v>
      </c>
      <c r="B53" s="2" t="s">
        <v>223</v>
      </c>
      <c r="C53" s="2" t="s">
        <v>115</v>
      </c>
      <c r="D53" s="2" t="s">
        <v>168</v>
      </c>
      <c r="E53" s="2" t="s">
        <v>169</v>
      </c>
      <c r="F53" s="2" t="s">
        <v>170</v>
      </c>
    </row>
    <row r="54" spans="1:6" ht="15">
      <c r="A54" s="2" t="s">
        <v>210</v>
      </c>
      <c r="B54" s="2" t="s">
        <v>224</v>
      </c>
      <c r="C54" s="2" t="s">
        <v>155</v>
      </c>
      <c r="D54" s="2" t="s">
        <v>168</v>
      </c>
      <c r="E54" s="2" t="s">
        <v>169</v>
      </c>
      <c r="F54" s="2" t="s">
        <v>189</v>
      </c>
    </row>
    <row r="55" spans="1:6" ht="15">
      <c r="A55" s="2" t="s">
        <v>210</v>
      </c>
      <c r="B55" s="2" t="s">
        <v>225</v>
      </c>
      <c r="C55" s="2" t="s">
        <v>155</v>
      </c>
      <c r="D55" s="2" t="s">
        <v>168</v>
      </c>
      <c r="E55" s="2" t="s">
        <v>169</v>
      </c>
      <c r="F55" s="2" t="s">
        <v>189</v>
      </c>
    </row>
    <row r="56" spans="1:6" ht="15">
      <c r="A56" s="2" t="s">
        <v>210</v>
      </c>
      <c r="B56" s="2" t="s">
        <v>226</v>
      </c>
      <c r="C56" s="2" t="s">
        <v>155</v>
      </c>
      <c r="D56" s="2" t="s">
        <v>168</v>
      </c>
      <c r="E56" s="2" t="s">
        <v>169</v>
      </c>
      <c r="F56" s="2" t="s">
        <v>189</v>
      </c>
    </row>
    <row r="57" spans="1:6" ht="15">
      <c r="A57" s="2" t="s">
        <v>227</v>
      </c>
      <c r="B57" s="2" t="s">
        <v>228</v>
      </c>
      <c r="C57" s="2" t="s">
        <v>155</v>
      </c>
      <c r="D57" s="2" t="s">
        <v>168</v>
      </c>
      <c r="E57" s="2" t="s">
        <v>169</v>
      </c>
      <c r="F57" s="2" t="s">
        <v>189</v>
      </c>
    </row>
    <row r="58" spans="1:6" ht="15">
      <c r="A58" s="2" t="s">
        <v>227</v>
      </c>
      <c r="B58" s="2" t="s">
        <v>229</v>
      </c>
      <c r="C58" s="2" t="s">
        <v>115</v>
      </c>
      <c r="D58" s="2" t="s">
        <v>168</v>
      </c>
      <c r="E58" s="2" t="s">
        <v>169</v>
      </c>
      <c r="F58" s="2" t="s">
        <v>170</v>
      </c>
    </row>
    <row r="59" spans="1:6" ht="15">
      <c r="A59" s="2" t="s">
        <v>227</v>
      </c>
      <c r="B59" s="2" t="s">
        <v>230</v>
      </c>
      <c r="C59" s="2" t="s">
        <v>115</v>
      </c>
      <c r="D59" s="2" t="s">
        <v>168</v>
      </c>
      <c r="E59" s="2" t="s">
        <v>169</v>
      </c>
      <c r="F59" s="2" t="s">
        <v>170</v>
      </c>
    </row>
    <row r="60" spans="1:6" ht="15">
      <c r="A60" s="2" t="s">
        <v>227</v>
      </c>
      <c r="B60" s="2" t="s">
        <v>231</v>
      </c>
      <c r="C60" s="2" t="s">
        <v>115</v>
      </c>
      <c r="D60" s="2" t="s">
        <v>168</v>
      </c>
      <c r="E60" s="2" t="s">
        <v>169</v>
      </c>
      <c r="F60" s="2" t="s">
        <v>170</v>
      </c>
    </row>
    <row r="61" spans="1:6" ht="15">
      <c r="A61" s="2" t="s">
        <v>227</v>
      </c>
      <c r="B61" s="2" t="s">
        <v>232</v>
      </c>
      <c r="C61" s="2" t="s">
        <v>155</v>
      </c>
      <c r="D61" s="2" t="s">
        <v>168</v>
      </c>
      <c r="E61" s="2" t="s">
        <v>169</v>
      </c>
      <c r="F61" s="2" t="s">
        <v>189</v>
      </c>
    </row>
    <row r="62" spans="1:6" ht="15">
      <c r="A62" s="2" t="s">
        <v>227</v>
      </c>
      <c r="B62" s="2" t="s">
        <v>233</v>
      </c>
      <c r="C62" s="2" t="s">
        <v>155</v>
      </c>
      <c r="D62" s="2" t="s">
        <v>168</v>
      </c>
      <c r="E62" s="2" t="s">
        <v>169</v>
      </c>
      <c r="F62" s="2" t="s">
        <v>189</v>
      </c>
    </row>
    <row r="63" spans="1:6" ht="15">
      <c r="A63" s="2" t="s">
        <v>227</v>
      </c>
      <c r="B63" s="2" t="s">
        <v>234</v>
      </c>
      <c r="C63" s="2" t="s">
        <v>155</v>
      </c>
      <c r="D63" s="2" t="s">
        <v>168</v>
      </c>
      <c r="E63" s="2" t="s">
        <v>169</v>
      </c>
      <c r="F63" s="2" t="s">
        <v>189</v>
      </c>
    </row>
    <row r="64" spans="1:6" ht="15">
      <c r="A64" s="2" t="s">
        <v>227</v>
      </c>
      <c r="B64" s="2" t="s">
        <v>235</v>
      </c>
      <c r="C64" s="2" t="s">
        <v>155</v>
      </c>
      <c r="D64" s="2" t="s">
        <v>168</v>
      </c>
      <c r="E64" s="2" t="s">
        <v>169</v>
      </c>
      <c r="F64" s="2" t="s">
        <v>189</v>
      </c>
    </row>
    <row r="65" spans="1:6" ht="15">
      <c r="A65" s="2" t="s">
        <v>227</v>
      </c>
      <c r="B65" s="2" t="s">
        <v>236</v>
      </c>
      <c r="C65" s="2" t="s">
        <v>155</v>
      </c>
      <c r="D65" s="2" t="s">
        <v>168</v>
      </c>
      <c r="E65" s="2" t="s">
        <v>169</v>
      </c>
      <c r="F65" s="2" t="s">
        <v>189</v>
      </c>
    </row>
    <row r="66" spans="1:6" ht="15">
      <c r="A66" s="2" t="s">
        <v>237</v>
      </c>
      <c r="B66" s="2" t="s">
        <v>238</v>
      </c>
      <c r="C66" s="2" t="s">
        <v>155</v>
      </c>
      <c r="D66" s="2" t="s">
        <v>116</v>
      </c>
      <c r="E66" s="2" t="s">
        <v>239</v>
      </c>
      <c r="F66" s="2" t="s">
        <v>157</v>
      </c>
    </row>
    <row r="67" spans="1:6" ht="15">
      <c r="A67" s="2" t="s">
        <v>237</v>
      </c>
      <c r="B67" s="2" t="s">
        <v>240</v>
      </c>
      <c r="C67" s="2" t="s">
        <v>155</v>
      </c>
      <c r="D67" s="2" t="s">
        <v>168</v>
      </c>
      <c r="E67" s="2" t="s">
        <v>241</v>
      </c>
      <c r="F67" s="2" t="s">
        <v>170</v>
      </c>
    </row>
    <row r="68" spans="1:6" ht="15">
      <c r="A68" s="2" t="s">
        <v>237</v>
      </c>
      <c r="B68" s="2" t="s">
        <v>242</v>
      </c>
      <c r="C68" s="2" t="s">
        <v>155</v>
      </c>
      <c r="D68" s="2" t="s">
        <v>168</v>
      </c>
      <c r="E68" s="2" t="s">
        <v>169</v>
      </c>
      <c r="F68" s="2" t="s">
        <v>170</v>
      </c>
    </row>
    <row r="69" spans="1:6" ht="15">
      <c r="A69" s="2" t="s">
        <v>237</v>
      </c>
      <c r="B69" s="2" t="s">
        <v>243</v>
      </c>
      <c r="C69" s="2" t="s">
        <v>115</v>
      </c>
      <c r="D69" s="2" t="s">
        <v>168</v>
      </c>
      <c r="E69" s="2" t="s">
        <v>169</v>
      </c>
      <c r="F69" s="2" t="s">
        <v>170</v>
      </c>
    </row>
    <row r="70" spans="1:6" ht="15">
      <c r="A70" s="2" t="s">
        <v>237</v>
      </c>
      <c r="B70" s="2" t="s">
        <v>244</v>
      </c>
      <c r="C70" s="2" t="s">
        <v>115</v>
      </c>
      <c r="D70" s="2" t="s">
        <v>168</v>
      </c>
      <c r="E70" s="2" t="s">
        <v>169</v>
      </c>
      <c r="F70" s="2" t="s">
        <v>170</v>
      </c>
    </row>
    <row r="71" spans="1:6" ht="15">
      <c r="A71" s="2" t="s">
        <v>237</v>
      </c>
      <c r="B71" s="2" t="s">
        <v>245</v>
      </c>
      <c r="C71" s="2" t="s">
        <v>115</v>
      </c>
      <c r="D71" s="2" t="s">
        <v>168</v>
      </c>
      <c r="E71" s="2" t="s">
        <v>169</v>
      </c>
      <c r="F71" s="2" t="s">
        <v>170</v>
      </c>
    </row>
    <row r="72" spans="1:6" ht="15">
      <c r="A72" s="2" t="s">
        <v>237</v>
      </c>
      <c r="B72" s="2" t="s">
        <v>246</v>
      </c>
      <c r="C72" s="2" t="s">
        <v>155</v>
      </c>
      <c r="D72" s="2" t="s">
        <v>168</v>
      </c>
      <c r="E72" s="2" t="s">
        <v>169</v>
      </c>
      <c r="F72" s="2" t="s">
        <v>189</v>
      </c>
    </row>
    <row r="73" spans="1:6" ht="15">
      <c r="A73" s="2" t="s">
        <v>237</v>
      </c>
      <c r="B73" s="2" t="s">
        <v>247</v>
      </c>
      <c r="C73" s="2" t="s">
        <v>155</v>
      </c>
      <c r="D73" s="2" t="s">
        <v>168</v>
      </c>
      <c r="E73" s="2" t="s">
        <v>169</v>
      </c>
      <c r="F73" s="2" t="s">
        <v>189</v>
      </c>
    </row>
    <row r="74" spans="1:6" ht="15">
      <c r="A74" s="2" t="s">
        <v>237</v>
      </c>
      <c r="B74" s="2" t="s">
        <v>248</v>
      </c>
      <c r="C74" s="2" t="s">
        <v>155</v>
      </c>
      <c r="D74" s="2" t="s">
        <v>168</v>
      </c>
      <c r="E74" s="2" t="s">
        <v>169</v>
      </c>
      <c r="F74" s="2" t="s">
        <v>189</v>
      </c>
    </row>
    <row r="75" spans="1:6" ht="15">
      <c r="A75" s="2" t="s">
        <v>237</v>
      </c>
      <c r="B75" s="2" t="s">
        <v>249</v>
      </c>
      <c r="C75" s="2" t="s">
        <v>155</v>
      </c>
      <c r="D75" s="2" t="s">
        <v>168</v>
      </c>
      <c r="E75" s="2" t="s">
        <v>169</v>
      </c>
      <c r="F75" s="2" t="s">
        <v>189</v>
      </c>
    </row>
    <row r="76" spans="1:6" ht="15">
      <c r="A76" s="2" t="s">
        <v>237</v>
      </c>
      <c r="B76" s="2" t="s">
        <v>250</v>
      </c>
      <c r="C76" s="2" t="s">
        <v>155</v>
      </c>
      <c r="D76" s="2" t="s">
        <v>168</v>
      </c>
      <c r="E76" s="2" t="s">
        <v>169</v>
      </c>
      <c r="F76" s="2" t="s">
        <v>189</v>
      </c>
    </row>
    <row r="77" spans="1:6" ht="15">
      <c r="A77" s="2" t="s">
        <v>237</v>
      </c>
      <c r="B77" s="2" t="s">
        <v>251</v>
      </c>
      <c r="C77" s="2" t="s">
        <v>155</v>
      </c>
      <c r="D77" s="2" t="s">
        <v>168</v>
      </c>
      <c r="E77" s="2" t="s">
        <v>169</v>
      </c>
      <c r="F77" s="2" t="s">
        <v>189</v>
      </c>
    </row>
    <row r="78" spans="1:6" ht="15">
      <c r="A78" s="2" t="s">
        <v>237</v>
      </c>
      <c r="B78" s="2" t="s">
        <v>252</v>
      </c>
      <c r="C78" s="2" t="s">
        <v>155</v>
      </c>
      <c r="D78" s="2" t="s">
        <v>168</v>
      </c>
      <c r="E78" s="2" t="s">
        <v>169</v>
      </c>
      <c r="F78" s="2" t="s">
        <v>189</v>
      </c>
    </row>
    <row r="79" spans="1:6" ht="15">
      <c r="A79" s="2" t="s">
        <v>237</v>
      </c>
      <c r="B79" s="2" t="s">
        <v>253</v>
      </c>
      <c r="C79" s="2" t="s">
        <v>155</v>
      </c>
      <c r="D79" s="2" t="s">
        <v>168</v>
      </c>
      <c r="E79" s="2" t="s">
        <v>169</v>
      </c>
      <c r="F79" s="2" t="s">
        <v>189</v>
      </c>
    </row>
    <row r="80" spans="1:6" ht="15">
      <c r="A80" s="2" t="s">
        <v>237</v>
      </c>
      <c r="B80" s="2" t="s">
        <v>254</v>
      </c>
      <c r="C80" s="2" t="s">
        <v>155</v>
      </c>
      <c r="D80" s="2" t="s">
        <v>168</v>
      </c>
      <c r="E80" s="2" t="s">
        <v>169</v>
      </c>
      <c r="F80" s="2" t="s">
        <v>189</v>
      </c>
    </row>
    <row r="81" spans="1:6" ht="15">
      <c r="A81" s="2" t="s">
        <v>237</v>
      </c>
      <c r="B81" s="2" t="s">
        <v>255</v>
      </c>
      <c r="C81" s="2" t="s">
        <v>155</v>
      </c>
      <c r="D81" s="2" t="s">
        <v>168</v>
      </c>
      <c r="E81" s="2" t="s">
        <v>169</v>
      </c>
      <c r="F81" s="2" t="s">
        <v>189</v>
      </c>
    </row>
    <row r="82" spans="1:6" ht="15">
      <c r="A82" s="2" t="s">
        <v>256</v>
      </c>
      <c r="B82" s="2" t="s">
        <v>257</v>
      </c>
      <c r="C82" s="2" t="s">
        <v>115</v>
      </c>
      <c r="D82" s="2" t="s">
        <v>116</v>
      </c>
      <c r="E82" s="2" t="s">
        <v>186</v>
      </c>
      <c r="F82" s="2" t="s">
        <v>157</v>
      </c>
    </row>
    <row r="83" spans="1:6" ht="15">
      <c r="A83" s="2" t="s">
        <v>256</v>
      </c>
      <c r="B83" s="2" t="s">
        <v>257</v>
      </c>
      <c r="C83" s="2" t="s">
        <v>115</v>
      </c>
      <c r="D83" s="2" t="s">
        <v>116</v>
      </c>
      <c r="E83" s="2" t="s">
        <v>162</v>
      </c>
      <c r="F83" s="2" t="s">
        <v>157</v>
      </c>
    </row>
    <row r="84" spans="1:6" ht="15">
      <c r="A84" s="2" t="s">
        <v>256</v>
      </c>
      <c r="B84" s="2" t="s">
        <v>258</v>
      </c>
      <c r="C84" s="2" t="s">
        <v>155</v>
      </c>
      <c r="D84" s="2"/>
      <c r="E84" s="2"/>
      <c r="F84" s="2" t="s">
        <v>189</v>
      </c>
    </row>
    <row r="85" spans="1:6" ht="15">
      <c r="A85" s="2" t="s">
        <v>256</v>
      </c>
      <c r="B85" s="2" t="s">
        <v>259</v>
      </c>
      <c r="C85" s="2" t="s">
        <v>155</v>
      </c>
      <c r="D85" s="2"/>
      <c r="E85" s="2"/>
      <c r="F85" s="2" t="s">
        <v>174</v>
      </c>
    </row>
    <row r="86" spans="1:6" ht="15">
      <c r="A86" s="2" t="s">
        <v>256</v>
      </c>
      <c r="B86" s="2" t="s">
        <v>260</v>
      </c>
      <c r="C86" s="2" t="s">
        <v>155</v>
      </c>
      <c r="D86" s="2"/>
      <c r="E86" s="2"/>
      <c r="F86" s="2" t="s">
        <v>174</v>
      </c>
    </row>
    <row r="87" spans="1:6" ht="15">
      <c r="A87" s="2" t="s">
        <v>256</v>
      </c>
      <c r="B87" s="2" t="s">
        <v>261</v>
      </c>
      <c r="C87" s="2" t="s">
        <v>155</v>
      </c>
      <c r="D87" s="2" t="s">
        <v>116</v>
      </c>
      <c r="E87" s="2" t="s">
        <v>173</v>
      </c>
      <c r="F87" s="2" t="s">
        <v>157</v>
      </c>
    </row>
    <row r="88" spans="1:6" ht="15">
      <c r="A88" s="2" t="s">
        <v>256</v>
      </c>
      <c r="B88" s="2" t="s">
        <v>262</v>
      </c>
      <c r="C88" s="2" t="s">
        <v>155</v>
      </c>
      <c r="D88" s="2" t="s">
        <v>263</v>
      </c>
      <c r="E88" s="2" t="s">
        <v>264</v>
      </c>
      <c r="F88" s="2" t="s">
        <v>170</v>
      </c>
    </row>
    <row r="89" spans="1:6" ht="15">
      <c r="A89" s="2" t="s">
        <v>256</v>
      </c>
      <c r="B89" s="2" t="s">
        <v>265</v>
      </c>
      <c r="C89" s="2" t="s">
        <v>155</v>
      </c>
      <c r="D89" s="2" t="s">
        <v>266</v>
      </c>
      <c r="E89" s="2"/>
      <c r="F89" s="2" t="s">
        <v>189</v>
      </c>
    </row>
    <row r="90" spans="1:6" ht="15">
      <c r="A90" s="2" t="s">
        <v>256</v>
      </c>
      <c r="B90" s="2" t="s">
        <v>267</v>
      </c>
      <c r="C90" s="2" t="s">
        <v>155</v>
      </c>
      <c r="D90" s="2"/>
      <c r="E90" s="2"/>
      <c r="F90" s="2" t="s">
        <v>157</v>
      </c>
    </row>
    <row r="91" spans="1:6" ht="15">
      <c r="A91" s="2" t="s">
        <v>256</v>
      </c>
      <c r="B91" s="2" t="s">
        <v>268</v>
      </c>
      <c r="C91" s="2" t="s">
        <v>115</v>
      </c>
      <c r="D91" s="2"/>
      <c r="E91" s="2"/>
      <c r="F91" s="2" t="s">
        <v>157</v>
      </c>
    </row>
    <row r="92" spans="1:6" ht="15">
      <c r="A92" s="2" t="s">
        <v>256</v>
      </c>
      <c r="B92" s="2" t="s">
        <v>269</v>
      </c>
      <c r="C92" s="2" t="s">
        <v>115</v>
      </c>
      <c r="D92" s="2"/>
      <c r="E92" s="2"/>
      <c r="F92" s="2" t="s">
        <v>157</v>
      </c>
    </row>
    <row r="93" spans="1:6" ht="15">
      <c r="A93" s="2" t="s">
        <v>256</v>
      </c>
      <c r="B93" s="2" t="s">
        <v>270</v>
      </c>
      <c r="C93" s="2" t="s">
        <v>115</v>
      </c>
      <c r="D93" s="2"/>
      <c r="E93" s="2"/>
      <c r="F93" s="2" t="s">
        <v>157</v>
      </c>
    </row>
    <row r="94" spans="1:6" ht="15">
      <c r="A94" s="2" t="s">
        <v>256</v>
      </c>
      <c r="B94" s="2" t="s">
        <v>271</v>
      </c>
      <c r="C94" s="2" t="s">
        <v>115</v>
      </c>
      <c r="D94" s="2"/>
      <c r="E94" s="2"/>
      <c r="F94" s="2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>
      <selection activeCell="A5" sqref="A5"/>
    </sheetView>
  </sheetViews>
  <sheetFormatPr baseColWidth="10" defaultColWidth="8.83203125" defaultRowHeight="14"/>
  <cols>
    <col min="1" max="1" width="24" customWidth="1"/>
    <col min="2" max="2" width="148.33203125" customWidth="1"/>
  </cols>
  <sheetData>
    <row r="1" spans="1:2" ht="16">
      <c r="A1" s="1" t="s">
        <v>1</v>
      </c>
      <c r="B1" s="1" t="s">
        <v>272</v>
      </c>
    </row>
    <row r="2" spans="1:2" ht="15">
      <c r="A2" s="2" t="s">
        <v>273</v>
      </c>
      <c r="B2" s="2" t="s">
        <v>274</v>
      </c>
    </row>
    <row r="3" spans="1:2" ht="15">
      <c r="A3" s="2" t="s">
        <v>275</v>
      </c>
      <c r="B3" s="2" t="s">
        <v>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>
      <selection activeCell="A14" sqref="A14"/>
    </sheetView>
  </sheetViews>
  <sheetFormatPr baseColWidth="10" defaultColWidth="8.83203125" defaultRowHeight="14"/>
  <cols>
    <col min="1" max="1" width="82.33203125" customWidth="1"/>
    <col min="2" max="2" width="40" customWidth="1"/>
  </cols>
  <sheetData>
    <row r="1" spans="1:5" ht="21">
      <c r="A1" s="6" t="s">
        <v>277</v>
      </c>
      <c r="B1" s="7"/>
      <c r="C1" s="7"/>
      <c r="D1" s="7"/>
      <c r="E1" s="7"/>
    </row>
    <row r="3" spans="1:5" ht="16">
      <c r="A3" s="4" t="s">
        <v>278</v>
      </c>
      <c r="B3" s="4"/>
    </row>
    <row r="4" spans="1:5" ht="15">
      <c r="A4" s="2" t="s">
        <v>279</v>
      </c>
      <c r="B4" s="2"/>
    </row>
    <row r="5" spans="1:5" ht="15">
      <c r="A5" s="2" t="s">
        <v>280</v>
      </c>
      <c r="B5" s="2"/>
    </row>
    <row r="6" spans="1:5" ht="15">
      <c r="A6" s="2" t="s">
        <v>281</v>
      </c>
      <c r="B6" s="2"/>
    </row>
    <row r="7" spans="1:5" ht="15">
      <c r="A7" s="2" t="s">
        <v>282</v>
      </c>
      <c r="B7" s="2"/>
    </row>
    <row r="8" spans="1:5" ht="15">
      <c r="A8" s="2" t="s">
        <v>283</v>
      </c>
      <c r="B8" s="2"/>
    </row>
    <row r="9" spans="1:5" ht="15">
      <c r="A9" s="2" t="s">
        <v>284</v>
      </c>
      <c r="B9" s="2"/>
    </row>
    <row r="10" spans="1:5" ht="15">
      <c r="A10" s="2" t="s">
        <v>285</v>
      </c>
      <c r="B10" s="2" t="s">
        <v>286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Runners</vt:lpstr>
      <vt:lpstr>Sherpas</vt:lpstr>
      <vt:lpstr>Teams</vt:lpstr>
      <vt:lpstr>Emergency</vt:lpstr>
      <vt:lpstr>TentList</vt:lpstr>
      <vt:lpstr>Carpool</vt:lpstr>
      <vt:lpstr>Checklist</vt:lpstr>
      <vt:lpstr>Links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Chiara Manton</cp:lastModifiedBy>
  <dcterms:modified xsi:type="dcterms:W3CDTF">2026-08-02T14:35:00Z</dcterms:modified>
</cp:coreProperties>
</file>